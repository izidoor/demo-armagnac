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iergoujon/Library/CloudStorage/SynologyDrive-DRIVE-BNIA/06-RELATIONS CONTRIBUTEURS/08-PLAN ROC/OBSERVATOIRE - GESTION DE LA DONNEE/PHASE 2 - APPEL OFFRE PLATEFORME/"/>
    </mc:Choice>
  </mc:AlternateContent>
  <xr:revisionPtr revIDLastSave="0" documentId="8_{75114FE1-2C4A-6542-95B0-686712510812}" xr6:coauthVersionLast="47" xr6:coauthVersionMax="47" xr10:uidLastSave="{00000000-0000-0000-0000-000000000000}"/>
  <bookViews>
    <workbookView xWindow="0" yWindow="600" windowWidth="38400" windowHeight="21000" tabRatio="831" activeTab="1" xr2:uid="{00000000-000D-0000-FFFF-FFFF00000000}"/>
  </bookViews>
  <sheets>
    <sheet name="ENTREES &amp; SORTIES" sheetId="1" r:id="rId1"/>
    <sheet name="VENTES &amp; STOCK" sheetId="6" r:id="rId2"/>
  </sheets>
  <definedNames>
    <definedName name="_xlnm.Print_Area" localSheetId="0">'ENTREES &amp; SORTIES'!$A$1:$J$109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6" l="1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14" i="6"/>
  <c r="B102" i="6" l="1"/>
  <c r="C102" i="6"/>
  <c r="D102" i="6"/>
  <c r="H106" i="1" l="1"/>
  <c r="F106" i="1"/>
  <c r="E102" i="6" l="1"/>
  <c r="F102" i="6"/>
  <c r="G102" i="6"/>
  <c r="A102" i="6"/>
  <c r="E106" i="1"/>
  <c r="D106" i="1"/>
  <c r="G106" i="1" l="1"/>
  <c r="I106" i="1"/>
  <c r="J10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daniele.chanfreau</author>
  </authors>
  <commentList>
    <comment ref="D18" authorId="0" shapeId="0" xr:uid="{00000000-0006-0000-0000-000001000000}">
      <text>
        <r>
          <rPr>
            <b/>
            <sz val="9"/>
            <color indexed="10"/>
            <rFont val="Tahoma"/>
            <family val="2"/>
          </rPr>
          <t xml:space="preserve">AIDE A LA SAISIE 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- Merci de ne rien saisir dans le stock total (calcul automatisé)
- Ne pas modifier les totaux en bas de page (calcul automatisé)
- Ne pas rajouter de lignes
- Respecter le format de saisie en Hl.l,cl AP</t>
        </r>
        <r>
          <rPr>
            <b/>
            <sz val="9"/>
            <color indexed="81"/>
            <rFont val="Tahoma"/>
            <family val="2"/>
          </rPr>
          <t xml:space="preserve">
- Obligation de compléter la colonne 5 "Pertes sur inventaire DIA"
- Ne pas modifier la colonne 1 "stock au 1er avril"
Pour toute question, n'hésitez pas à appeler Sophie Polonio : 05 62 08 11 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daniele.chanfreau</author>
  </authors>
  <commentList>
    <comment ref="G14" authorId="0" shapeId="0" xr:uid="{AEDD325D-005B-4DD1-97DC-BE4C617E652F}">
      <text>
        <r>
          <rPr>
            <b/>
            <sz val="9"/>
            <color rgb="FFFF0000"/>
            <rFont val="Tahoma"/>
            <family val="2"/>
          </rPr>
          <t xml:space="preserve">AIDE A LA SAISIE : 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- Merci de ne rien saisir dans le stock total (calcul automatisé)
</t>
        </r>
        <r>
          <rPr>
            <sz val="9"/>
            <color rgb="FF000000"/>
            <rFont val="Tahoma"/>
            <family val="2"/>
          </rPr>
          <t xml:space="preserve">- Ne pas modifier les totaux en bas de page (calcul automatisé)
</t>
        </r>
        <r>
          <rPr>
            <sz val="9"/>
            <color rgb="FF000000"/>
            <rFont val="Tahoma"/>
            <family val="2"/>
          </rPr>
          <t xml:space="preserve">- Ne pas rajouter de lignes
</t>
        </r>
        <r>
          <rPr>
            <sz val="9"/>
            <color rgb="FF000000"/>
            <rFont val="Tahoma"/>
            <family val="2"/>
          </rPr>
          <t>- Respecter le format de saisie en Hl.l,cl AP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- Obligation de compléter la colonne 5 "Pertes sur inventaire DIA"
</t>
        </r>
        <r>
          <rPr>
            <b/>
            <sz val="9"/>
            <color rgb="FF000000"/>
            <rFont val="Tahoma"/>
            <family val="2"/>
          </rPr>
          <t xml:space="preserve">- Ne pas modifier la colonne 1 "stock au 1er avril"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Pour toute question, n'hésitez pas à appeler Sophie Polonio : 05 62 08 11 00</t>
        </r>
      </text>
    </comment>
  </commentList>
</comments>
</file>

<file path=xl/sharedStrings.xml><?xml version="1.0" encoding="utf-8"?>
<sst xmlns="http://schemas.openxmlformats.org/spreadsheetml/2006/main" count="68" uniqueCount="45">
  <si>
    <t>BUREAU NATIONAL</t>
  </si>
  <si>
    <t>INTERPROFESSIONNEL DE L'ARMAGNAC</t>
  </si>
  <si>
    <t>Date :</t>
  </si>
  <si>
    <t>Lieu :</t>
  </si>
  <si>
    <t xml:space="preserve">Signature : </t>
  </si>
  <si>
    <t>DECLARATION DE STOCKS</t>
  </si>
  <si>
    <t>ET DE MOUVEMENTS</t>
  </si>
  <si>
    <t>Millésime ou Dénomination</t>
  </si>
  <si>
    <t>Clé</t>
  </si>
  <si>
    <t>Cpte Age</t>
  </si>
  <si>
    <t>RECAPITULATIF ENTREES</t>
  </si>
  <si>
    <t>SORTIES</t>
  </si>
  <si>
    <t>Total</t>
  </si>
  <si>
    <t>base cotisation</t>
  </si>
  <si>
    <t>NON</t>
  </si>
  <si>
    <t>* la colonne pertes sur inventaire doit indiquer le détail du volume recensé dans la déclaration d'inventaire annuel (DIA) déposée aux Douanes au cours de la période de référence.</t>
  </si>
  <si>
    <t>Légende de la clé : M : Millésime - N : Non Millésime - V : Verre - B : sous bois</t>
  </si>
  <si>
    <t>Distillation propre</t>
  </si>
  <si>
    <t>Région délimitée</t>
  </si>
  <si>
    <t>OUI</t>
  </si>
  <si>
    <r>
      <t>en Hl</t>
    </r>
    <r>
      <rPr>
        <b/>
        <sz val="14"/>
        <color theme="1"/>
        <rFont val="Calibri"/>
        <family val="2"/>
        <scheme val="minor"/>
      </rPr>
      <t>.</t>
    </r>
    <r>
      <rPr>
        <b/>
        <sz val="12"/>
        <color theme="1"/>
        <rFont val="Calibri"/>
        <family val="2"/>
        <scheme val="minor"/>
      </rPr>
      <t>l,cl AP</t>
    </r>
  </si>
  <si>
    <t>STOCK AU 1er AVRIL</t>
  </si>
  <si>
    <t>Mouvements (coupe, transfert…)</t>
  </si>
  <si>
    <t>Fabrications FLOC</t>
  </si>
  <si>
    <t>Fabrications autres</t>
  </si>
  <si>
    <t>N° BNIA</t>
  </si>
  <si>
    <t>Page 2/2</t>
  </si>
  <si>
    <t>VENTES</t>
  </si>
  <si>
    <t>Marché Intérieur</t>
  </si>
  <si>
    <t>hors chai Armagnac</t>
  </si>
  <si>
    <t>Négoce</t>
  </si>
  <si>
    <t>chai Armagnac</t>
  </si>
  <si>
    <t>Exportation</t>
  </si>
  <si>
    <t>Bouteilles -3litres</t>
  </si>
  <si>
    <t>Vrac destiné à la mise en bouteille Armagnac</t>
  </si>
  <si>
    <t>Hors région</t>
  </si>
  <si>
    <t>STOCK AU
31 MARS</t>
  </si>
  <si>
    <t>Pertes inventaire DIA du .../.../...*</t>
  </si>
  <si>
    <t>Maison du Vignoble Gascogne Armagnac</t>
  </si>
  <si>
    <t>Lieu-dit "Estère" - 1330 Route de Manciet - 32800 EAUZE</t>
  </si>
  <si>
    <t>TEL : 05 62 08 11 09 - Mel : contributeurs@armagnac.fr</t>
  </si>
  <si>
    <t>0071137</t>
  </si>
  <si>
    <t>PERIODE DU 1er AVRIL 2026 AU 31 MARS 2027</t>
  </si>
  <si>
    <t>A RETOURNER AVANT LE 30 AVRIL 2027</t>
  </si>
  <si>
    <t xml:space="preserve">N°BNIA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</si>
</sst>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\.00.00"/>
    <numFmt numFmtId="165" formatCode="###0\.00.00"/>
  </numFmts>
  <fonts count="21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10"/>
      <name val="Tahoma"/>
      <family val="2"/>
    </font>
    <font>
      <b/>
      <sz val="9"/>
      <color rgb="FFFF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EDEDE"/>
        <bgColor indexed="64"/>
      </patternFill>
    </fill>
  </fills>
  <borders count="105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 style="thin">
        <color theme="1" tint="0.499984740745262"/>
      </top>
      <bottom style="hair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/>
      <diagonal/>
    </border>
    <border>
      <left style="thin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hair">
        <color theme="0" tint="-0.24994659260841701"/>
      </bottom>
      <diagonal/>
    </border>
    <border>
      <left style="thin">
        <color theme="1" tint="0.499984740745262"/>
      </left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theme="1" tint="0.499984740745262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/>
      <bottom style="medium">
        <color theme="0" tint="-0.24994659260841701"/>
      </bottom>
      <diagonal/>
    </border>
    <border>
      <left style="hair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thin">
        <color theme="1" tint="0.499984740745262"/>
      </left>
      <right/>
      <top style="hair">
        <color theme="0" tint="-0.24994659260841701"/>
      </top>
      <bottom/>
      <diagonal/>
    </border>
    <border>
      <left style="thin">
        <color theme="0" tint="-0.24994659260841701"/>
      </left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hair">
        <color theme="0" tint="-0.24994659260841701"/>
      </top>
      <bottom/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 style="medium">
        <color theme="0" tint="-0.24994659260841701"/>
      </left>
      <right style="hair">
        <color theme="1" tint="0.499984740745262"/>
      </right>
      <top style="medium">
        <color theme="0" tint="-0.2499465926084170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0" tint="-0.24994659260841701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0" tint="-0.24994659260841701"/>
      </top>
      <bottom style="hair">
        <color theme="1" tint="0.499984740745262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hair">
        <color theme="1" tint="0.499984740745262"/>
      </bottom>
      <diagonal/>
    </border>
    <border>
      <left style="medium">
        <color theme="0" tint="-0.24994659260841701"/>
      </left>
      <right style="hair">
        <color theme="1" tint="0.499984740745262"/>
      </right>
      <top style="hair">
        <color theme="1" tint="0.499984740745262"/>
      </top>
      <bottom style="medium">
        <color theme="0" tint="-0.2499465926084170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0" tint="-0.24994659260841701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1" tint="0.499984740745262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hair">
        <color theme="0" tint="-0.24994659260841701"/>
      </bottom>
      <diagonal/>
    </border>
    <border>
      <left style="medium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hair">
        <color theme="0" tint="-0.24994659260841701"/>
      </bottom>
      <diagonal/>
    </border>
    <border>
      <left style="thin">
        <color theme="0" tint="-0.24994659260841701"/>
      </left>
      <right/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0.49998474074526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hair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1" tint="0.499984740745262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/>
      <diagonal/>
    </border>
    <border>
      <left/>
      <right/>
      <top style="medium">
        <color theme="0" tint="-0.24994659260841701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hair">
        <color theme="1" tint="0.499984740745262"/>
      </bottom>
      <diagonal/>
    </border>
    <border>
      <left style="thin">
        <color theme="0" tint="-0.24994659260841701"/>
      </left>
      <right/>
      <top style="hair">
        <color theme="1" tint="0.499984740745262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1" tint="0.499984740745262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hair">
        <color theme="0" tint="-0.24994659260841701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hair">
        <color theme="1" tint="0.499984740745262"/>
      </bottom>
      <diagonal/>
    </border>
    <border>
      <left style="medium">
        <color theme="0" tint="-0.24994659260841701"/>
      </left>
      <right/>
      <top style="hair">
        <color theme="1" tint="0.499984740745262"/>
      </top>
      <bottom style="medium">
        <color theme="0" tint="-0.24994659260841701"/>
      </bottom>
      <diagonal/>
    </border>
    <border>
      <left style="thin">
        <color auto="1"/>
      </left>
      <right/>
      <top/>
      <bottom/>
      <diagonal/>
    </border>
    <border>
      <left style="medium">
        <color theme="0" tint="-0.24994659260841701"/>
      </left>
      <right/>
      <top/>
      <bottom/>
      <diagonal/>
    </border>
    <border>
      <left style="hair">
        <color theme="0" tint="-0.2499465926084170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1" tint="0.499984740745262"/>
      </top>
      <bottom/>
      <diagonal/>
    </border>
    <border>
      <left/>
      <right style="medium">
        <color theme="0" tint="-0.24994659260841701"/>
      </right>
      <top style="thin">
        <color theme="1" tint="0.499984740745262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 style="hair">
        <color theme="0" tint="-0.24994659260841701"/>
      </top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hair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 tint="-0.24994659260841701"/>
      </right>
      <top style="hair">
        <color theme="0" tint="-0.24994659260841701"/>
      </top>
      <bottom/>
      <diagonal/>
    </border>
    <border>
      <left/>
      <right style="thin">
        <color theme="0" tint="-0.24994659260841701"/>
      </right>
      <top style="hair">
        <color theme="1" tint="0.499984740745262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/>
      <diagonal/>
    </border>
    <border>
      <left/>
      <right style="medium">
        <color theme="0" tint="-0.24994659260841701"/>
      </right>
      <top style="hair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dotted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hair">
        <color theme="0" tint="-0.24994659260841701"/>
      </bottom>
      <diagonal/>
    </border>
    <border>
      <left style="thin">
        <color theme="1" tint="0.499984740745262"/>
      </left>
      <right style="thin">
        <color indexed="64"/>
      </right>
      <top style="medium">
        <color theme="0" tint="-0.24994659260841701"/>
      </top>
      <bottom style="hair">
        <color theme="0" tint="-0.24994659260841701"/>
      </bottom>
      <diagonal/>
    </border>
    <border>
      <left style="thin">
        <color theme="1" tint="0.499984740745262"/>
      </left>
      <right style="thin">
        <color indexed="64"/>
      </right>
      <top/>
      <bottom style="hair">
        <color theme="0" tint="-0.24994659260841701"/>
      </bottom>
      <diagonal/>
    </border>
    <border>
      <left style="thin">
        <color theme="1" tint="0.499984740745262"/>
      </left>
      <right style="thin">
        <color indexed="64"/>
      </right>
      <top style="hair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/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 style="medium">
        <color theme="0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/>
    <xf numFmtId="0" fontId="0" fillId="0" borderId="5" xfId="0" applyBorder="1"/>
    <xf numFmtId="0" fontId="3" fillId="0" borderId="0" xfId="0" applyFont="1"/>
    <xf numFmtId="0" fontId="4" fillId="2" borderId="10" xfId="0" applyFont="1" applyFill="1" applyBorder="1" applyAlignment="1">
      <alignment horizontal="center" vertical="center" wrapText="1"/>
    </xf>
    <xf numFmtId="0" fontId="0" fillId="2" borderId="37" xfId="0" applyFill="1" applyBorder="1"/>
    <xf numFmtId="0" fontId="0" fillId="2" borderId="38" xfId="0" applyFill="1" applyBorder="1"/>
    <xf numFmtId="0" fontId="5" fillId="0" borderId="0" xfId="0" applyFont="1"/>
    <xf numFmtId="0" fontId="4" fillId="2" borderId="41" xfId="0" applyFont="1" applyFill="1" applyBorder="1"/>
    <xf numFmtId="0" fontId="4" fillId="2" borderId="42" xfId="0" applyFont="1" applyFill="1" applyBorder="1"/>
    <xf numFmtId="0" fontId="4" fillId="2" borderId="43" xfId="0" applyFont="1" applyFill="1" applyBorder="1"/>
    <xf numFmtId="0" fontId="4" fillId="2" borderId="44" xfId="0" applyFont="1" applyFill="1" applyBorder="1"/>
    <xf numFmtId="0" fontId="4" fillId="0" borderId="0" xfId="0" applyFont="1"/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0" fillId="2" borderId="0" xfId="0" applyFill="1"/>
    <xf numFmtId="0" fontId="5" fillId="2" borderId="47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4" fillId="2" borderId="56" xfId="0" applyFont="1" applyFill="1" applyBorder="1"/>
    <xf numFmtId="0" fontId="2" fillId="0" borderId="7" xfId="0" applyFont="1" applyBorder="1"/>
    <xf numFmtId="0" fontId="5" fillId="0" borderId="0" xfId="0" applyFont="1" applyAlignment="1">
      <alignment horizontal="right"/>
    </xf>
    <xf numFmtId="0" fontId="4" fillId="2" borderId="65" xfId="0" applyFont="1" applyFill="1" applyBorder="1"/>
    <xf numFmtId="0" fontId="4" fillId="2" borderId="70" xfId="0" applyFont="1" applyFill="1" applyBorder="1"/>
    <xf numFmtId="0" fontId="0" fillId="0" borderId="1" xfId="0" applyBorder="1"/>
    <xf numFmtId="0" fontId="0" fillId="0" borderId="2" xfId="0" applyBorder="1"/>
    <xf numFmtId="0" fontId="9" fillId="0" borderId="0" xfId="0" applyFont="1"/>
    <xf numFmtId="0" fontId="5" fillId="0" borderId="31" xfId="0" applyFont="1" applyBorder="1" applyProtection="1">
      <protection locked="0"/>
    </xf>
    <xf numFmtId="0" fontId="5" fillId="0" borderId="32" xfId="0" applyFont="1" applyBorder="1" applyProtection="1">
      <protection locked="0"/>
    </xf>
    <xf numFmtId="0" fontId="5" fillId="0" borderId="33" xfId="0" applyFont="1" applyBorder="1" applyProtection="1">
      <protection locked="0"/>
    </xf>
    <xf numFmtId="0" fontId="4" fillId="2" borderId="67" xfId="0" applyFont="1" applyFill="1" applyBorder="1" applyAlignment="1">
      <alignment horizontal="center" vertical="center" wrapText="1"/>
    </xf>
    <xf numFmtId="164" fontId="5" fillId="0" borderId="24" xfId="0" applyNumberFormat="1" applyFont="1" applyBorder="1" applyProtection="1">
      <protection locked="0"/>
    </xf>
    <xf numFmtId="164" fontId="5" fillId="0" borderId="10" xfId="0" applyNumberFormat="1" applyFont="1" applyBorder="1" applyProtection="1">
      <protection locked="0"/>
    </xf>
    <xf numFmtId="164" fontId="5" fillId="0" borderId="35" xfId="0" applyNumberFormat="1" applyFont="1" applyBorder="1" applyProtection="1">
      <protection locked="0"/>
    </xf>
    <xf numFmtId="164" fontId="5" fillId="0" borderId="48" xfId="0" applyNumberFormat="1" applyFont="1" applyBorder="1" applyProtection="1">
      <protection locked="0"/>
    </xf>
    <xf numFmtId="164" fontId="5" fillId="0" borderId="53" xfId="0" applyNumberFormat="1" applyFont="1" applyBorder="1" applyProtection="1">
      <protection locked="0"/>
    </xf>
    <xf numFmtId="164" fontId="5" fillId="0" borderId="49" xfId="0" applyNumberFormat="1" applyFont="1" applyBorder="1" applyProtection="1">
      <protection locked="0"/>
    </xf>
    <xf numFmtId="164" fontId="5" fillId="0" borderId="54" xfId="0" applyNumberFormat="1" applyFont="1" applyBorder="1" applyProtection="1">
      <protection locked="0"/>
    </xf>
    <xf numFmtId="164" fontId="5" fillId="2" borderId="39" xfId="0" applyNumberFormat="1" applyFont="1" applyFill="1" applyBorder="1"/>
    <xf numFmtId="164" fontId="5" fillId="2" borderId="55" xfId="0" applyNumberFormat="1" applyFont="1" applyFill="1" applyBorder="1"/>
    <xf numFmtId="164" fontId="5" fillId="2" borderId="40" xfId="0" applyNumberFormat="1" applyFont="1" applyFill="1" applyBorder="1"/>
    <xf numFmtId="164" fontId="5" fillId="2" borderId="64" xfId="0" applyNumberFormat="1" applyFont="1" applyFill="1" applyBorder="1"/>
    <xf numFmtId="164" fontId="5" fillId="2" borderId="69" xfId="0" applyNumberFormat="1" applyFont="1" applyFill="1" applyBorder="1"/>
    <xf numFmtId="164" fontId="5" fillId="2" borderId="37" xfId="0" applyNumberFormat="1" applyFont="1" applyFill="1" applyBorder="1"/>
    <xf numFmtId="0" fontId="0" fillId="0" borderId="0" xfId="0" applyProtection="1">
      <protection locked="0"/>
    </xf>
    <xf numFmtId="0" fontId="2" fillId="0" borderId="7" xfId="0" applyFont="1" applyBorder="1" applyAlignment="1">
      <alignment horizontal="right"/>
    </xf>
    <xf numFmtId="165" fontId="5" fillId="0" borderId="22" xfId="0" applyNumberFormat="1" applyFont="1" applyBorder="1"/>
    <xf numFmtId="165" fontId="5" fillId="0" borderId="11" xfId="0" applyNumberFormat="1" applyFont="1" applyBorder="1"/>
    <xf numFmtId="165" fontId="5" fillId="0" borderId="34" xfId="0" applyNumberFormat="1" applyFont="1" applyBorder="1"/>
    <xf numFmtId="0" fontId="0" fillId="0" borderId="3" xfId="0" applyBorder="1"/>
    <xf numFmtId="0" fontId="13" fillId="0" borderId="2" xfId="0" applyFont="1" applyBorder="1" applyAlignment="1">
      <alignment horizontal="right"/>
    </xf>
    <xf numFmtId="0" fontId="14" fillId="0" borderId="4" xfId="0" applyFont="1" applyBorder="1"/>
    <xf numFmtId="0" fontId="6" fillId="2" borderId="12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4" fillId="2" borderId="73" xfId="0" applyFont="1" applyFill="1" applyBorder="1" applyAlignment="1">
      <alignment horizontal="center" vertical="center" wrapText="1"/>
    </xf>
    <xf numFmtId="0" fontId="5" fillId="2" borderId="74" xfId="0" applyFont="1" applyFill="1" applyBorder="1" applyAlignment="1">
      <alignment horizontal="center"/>
    </xf>
    <xf numFmtId="164" fontId="5" fillId="0" borderId="25" xfId="0" applyNumberFormat="1" applyFont="1" applyBorder="1" applyProtection="1">
      <protection locked="0"/>
    </xf>
    <xf numFmtId="164" fontId="5" fillId="0" borderId="73" xfId="0" applyNumberFormat="1" applyFont="1" applyBorder="1" applyProtection="1">
      <protection locked="0"/>
    </xf>
    <xf numFmtId="164" fontId="5" fillId="0" borderId="36" xfId="0" applyNumberFormat="1" applyFont="1" applyBorder="1" applyProtection="1">
      <protection locked="0"/>
    </xf>
    <xf numFmtId="164" fontId="5" fillId="0" borderId="46" xfId="0" applyNumberFormat="1" applyFont="1" applyBorder="1"/>
    <xf numFmtId="164" fontId="5" fillId="0" borderId="68" xfId="0" applyNumberFormat="1" applyFont="1" applyBorder="1"/>
    <xf numFmtId="164" fontId="5" fillId="0" borderId="45" xfId="0" applyNumberFormat="1" applyFont="1" applyBorder="1"/>
    <xf numFmtId="164" fontId="5" fillId="0" borderId="77" xfId="0" applyNumberFormat="1" applyFont="1" applyBorder="1"/>
    <xf numFmtId="164" fontId="5" fillId="0" borderId="57" xfId="0" applyNumberFormat="1" applyFont="1" applyBorder="1"/>
    <xf numFmtId="0" fontId="5" fillId="2" borderId="78" xfId="0" applyFont="1" applyFill="1" applyBorder="1" applyAlignment="1">
      <alignment horizontal="center"/>
    </xf>
    <xf numFmtId="164" fontId="5" fillId="0" borderId="79" xfId="0" applyNumberFormat="1" applyFont="1" applyBorder="1"/>
    <xf numFmtId="164" fontId="5" fillId="0" borderId="80" xfId="0" applyNumberFormat="1" applyFont="1" applyBorder="1"/>
    <xf numFmtId="164" fontId="5" fillId="0" borderId="81" xfId="0" applyNumberFormat="1" applyFont="1" applyBorder="1"/>
    <xf numFmtId="0" fontId="4" fillId="2" borderId="82" xfId="0" applyFont="1" applyFill="1" applyBorder="1"/>
    <xf numFmtId="0" fontId="4" fillId="2" borderId="83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/>
    </xf>
    <xf numFmtId="164" fontId="5" fillId="0" borderId="53" xfId="0" applyNumberFormat="1" applyFont="1" applyBorder="1"/>
    <xf numFmtId="164" fontId="5" fillId="0" borderId="54" xfId="0" applyNumberFormat="1" applyFont="1" applyBorder="1"/>
    <xf numFmtId="0" fontId="4" fillId="2" borderId="85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/>
    </xf>
    <xf numFmtId="0" fontId="4" fillId="2" borderId="72" xfId="0" applyFont="1" applyFill="1" applyBorder="1" applyAlignment="1">
      <alignment horizontal="center" vertical="center" wrapText="1"/>
    </xf>
    <xf numFmtId="17" fontId="12" fillId="2" borderId="0" xfId="0" quotePrefix="1" applyNumberFormat="1" applyFont="1" applyFill="1" applyAlignment="1">
      <alignment horizontal="right"/>
    </xf>
    <xf numFmtId="0" fontId="12" fillId="2" borderId="0" xfId="0" applyFont="1" applyFill="1"/>
    <xf numFmtId="0" fontId="5" fillId="0" borderId="53" xfId="0" applyFont="1" applyBorder="1" applyProtection="1">
      <protection locked="0"/>
    </xf>
    <xf numFmtId="0" fontId="5" fillId="2" borderId="88" xfId="0" applyFont="1" applyFill="1" applyBorder="1" applyAlignment="1">
      <alignment horizontal="center" vertical="center" wrapText="1"/>
    </xf>
    <xf numFmtId="0" fontId="3" fillId="2" borderId="0" xfId="0" applyFont="1" applyFill="1"/>
    <xf numFmtId="0" fontId="9" fillId="2" borderId="61" xfId="0" applyFont="1" applyFill="1" applyBorder="1" applyAlignment="1">
      <alignment horizontal="center" vertical="center" wrapText="1"/>
    </xf>
    <xf numFmtId="0" fontId="7" fillId="2" borderId="61" xfId="0" applyFont="1" applyFill="1" applyBorder="1" applyAlignment="1">
      <alignment horizontal="center" vertical="center" wrapText="1"/>
    </xf>
    <xf numFmtId="0" fontId="7" fillId="2" borderId="63" xfId="0" applyFont="1" applyFill="1" applyBorder="1" applyAlignment="1">
      <alignment horizontal="center" vertical="center" wrapText="1"/>
    </xf>
    <xf numFmtId="0" fontId="4" fillId="2" borderId="84" xfId="0" applyFont="1" applyFill="1" applyBorder="1" applyAlignment="1">
      <alignment horizontal="center" vertical="center" wrapText="1"/>
    </xf>
    <xf numFmtId="164" fontId="8" fillId="2" borderId="69" xfId="0" applyNumberFormat="1" applyFont="1" applyFill="1" applyBorder="1"/>
    <xf numFmtId="0" fontId="4" fillId="2" borderId="86" xfId="0" applyFont="1" applyFill="1" applyBorder="1" applyAlignment="1">
      <alignment horizontal="center" vertical="center" wrapText="1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20" xfId="0" quotePrefix="1" applyFont="1" applyBorder="1" applyAlignment="1" applyProtection="1">
      <alignment horizontal="center"/>
      <protection locked="0"/>
    </xf>
    <xf numFmtId="0" fontId="5" fillId="0" borderId="20" xfId="0" applyFont="1" applyBorder="1" applyAlignment="1" applyProtection="1">
      <alignment horizontal="center"/>
      <protection locked="0"/>
    </xf>
    <xf numFmtId="49" fontId="0" fillId="2" borderId="0" xfId="0" applyNumberFormat="1" applyFill="1"/>
    <xf numFmtId="164" fontId="5" fillId="0" borderId="79" xfId="0" applyNumberFormat="1" applyFont="1" applyBorder="1" applyProtection="1">
      <protection locked="0"/>
    </xf>
    <xf numFmtId="164" fontId="5" fillId="0" borderId="96" xfId="0" applyNumberFormat="1" applyFont="1" applyBorder="1" applyProtection="1">
      <protection locked="0"/>
    </xf>
    <xf numFmtId="165" fontId="5" fillId="0" borderId="98" xfId="0" applyNumberFormat="1" applyFont="1" applyBorder="1"/>
    <xf numFmtId="0" fontId="5" fillId="0" borderId="97" xfId="0" quotePrefix="1" applyFont="1" applyBorder="1" applyAlignment="1" applyProtection="1">
      <alignment horizontal="center"/>
      <protection locked="0"/>
    </xf>
    <xf numFmtId="0" fontId="5" fillId="0" borderId="97" xfId="0" applyFont="1" applyBorder="1" applyAlignment="1" applyProtection="1">
      <alignment horizontal="center"/>
      <protection locked="0"/>
    </xf>
    <xf numFmtId="0" fontId="5" fillId="0" borderId="97" xfId="0" applyFont="1" applyBorder="1" applyAlignment="1" applyProtection="1">
      <alignment horizontal="center" vertical="center"/>
      <protection locked="0"/>
    </xf>
    <xf numFmtId="0" fontId="5" fillId="0" borderId="99" xfId="0" quotePrefix="1" applyFont="1" applyBorder="1" applyAlignment="1" applyProtection="1">
      <alignment horizontal="center"/>
      <protection locked="0"/>
    </xf>
    <xf numFmtId="0" fontId="5" fillId="0" borderId="99" xfId="0" applyFont="1" applyBorder="1" applyAlignment="1" applyProtection="1">
      <alignment horizontal="center"/>
      <protection locked="0"/>
    </xf>
    <xf numFmtId="0" fontId="5" fillId="0" borderId="23" xfId="0" applyFont="1" applyBorder="1" applyAlignment="1" applyProtection="1">
      <alignment horizontal="right"/>
      <protection locked="0"/>
    </xf>
    <xf numFmtId="0" fontId="5" fillId="0" borderId="23" xfId="0" applyFont="1" applyBorder="1" applyAlignment="1" applyProtection="1">
      <alignment horizontal="right" vertical="center"/>
      <protection locked="0"/>
    </xf>
    <xf numFmtId="0" fontId="5" fillId="0" borderId="100" xfId="0" applyFont="1" applyBorder="1" applyAlignment="1" applyProtection="1">
      <alignment horizontal="left"/>
      <protection locked="0"/>
    </xf>
    <xf numFmtId="0" fontId="5" fillId="0" borderId="101" xfId="0" applyFont="1" applyBorder="1" applyAlignment="1" applyProtection="1">
      <alignment horizontal="left" vertical="center"/>
      <protection locked="0"/>
    </xf>
    <xf numFmtId="0" fontId="5" fillId="0" borderId="102" xfId="0" applyFont="1" applyBorder="1" applyAlignment="1" applyProtection="1">
      <alignment horizontal="left"/>
      <protection locked="0"/>
    </xf>
    <xf numFmtId="0" fontId="5" fillId="0" borderId="103" xfId="0" applyFont="1" applyBorder="1" applyProtection="1">
      <protection locked="0"/>
    </xf>
    <xf numFmtId="0" fontId="5" fillId="0" borderId="104" xfId="0" applyFont="1" applyBorder="1" applyProtection="1">
      <protection locked="0"/>
    </xf>
    <xf numFmtId="0" fontId="11" fillId="0" borderId="4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76" xfId="0" applyFont="1" applyFill="1" applyBorder="1" applyAlignment="1">
      <alignment horizontal="center" vertical="center" wrapText="1"/>
    </xf>
    <xf numFmtId="0" fontId="11" fillId="0" borderId="7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64" xfId="0" applyFill="1" applyBorder="1" applyAlignment="1">
      <alignment horizontal="left"/>
    </xf>
    <xf numFmtId="0" fontId="0" fillId="2" borderId="58" xfId="0" applyFill="1" applyBorder="1" applyAlignment="1">
      <alignment horizontal="left"/>
    </xf>
    <xf numFmtId="0" fontId="0" fillId="2" borderId="40" xfId="0" applyFill="1" applyBorder="1" applyAlignment="1">
      <alignment horizontal="left"/>
    </xf>
    <xf numFmtId="0" fontId="4" fillId="2" borderId="65" xfId="0" applyFont="1" applyFill="1" applyBorder="1" applyAlignment="1">
      <alignment horizontal="left"/>
    </xf>
    <xf numFmtId="0" fontId="4" fillId="2" borderId="59" xfId="0" applyFont="1" applyFill="1" applyBorder="1" applyAlignment="1">
      <alignment horizontal="left"/>
    </xf>
    <xf numFmtId="0" fontId="4" fillId="2" borderId="44" xfId="0" applyFont="1" applyFill="1" applyBorder="1" applyAlignment="1">
      <alignment horizontal="left"/>
    </xf>
    <xf numFmtId="0" fontId="6" fillId="2" borderId="60" xfId="0" applyFont="1" applyFill="1" applyBorder="1" applyAlignment="1">
      <alignment horizontal="center" vertical="center" wrapText="1"/>
    </xf>
    <xf numFmtId="0" fontId="6" fillId="2" borderId="62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90" xfId="0" applyFont="1" applyFill="1" applyBorder="1" applyAlignment="1">
      <alignment horizontal="center" vertical="center" wrapText="1"/>
    </xf>
    <xf numFmtId="0" fontId="4" fillId="2" borderId="91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8" fillId="2" borderId="93" xfId="0" applyFont="1" applyFill="1" applyBorder="1" applyAlignment="1">
      <alignment horizontal="center" vertical="center" wrapText="1"/>
    </xf>
    <xf numFmtId="0" fontId="8" fillId="2" borderId="94" xfId="0" applyFont="1" applyFill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4" fillId="2" borderId="88" xfId="0" applyFont="1" applyFill="1" applyBorder="1" applyAlignment="1">
      <alignment horizontal="center" vertical="center" wrapText="1"/>
    </xf>
    <xf numFmtId="0" fontId="8" fillId="2" borderId="95" xfId="0" applyFont="1" applyFill="1" applyBorder="1" applyAlignment="1">
      <alignment horizontal="center" vertical="center" wrapText="1"/>
    </xf>
    <xf numFmtId="0" fontId="4" fillId="2" borderId="92" xfId="0" applyFont="1" applyFill="1" applyBorder="1" applyAlignment="1">
      <alignment horizontal="center" vertical="center" wrapText="1"/>
    </xf>
    <xf numFmtId="0" fontId="8" fillId="2" borderId="75" xfId="0" applyFont="1" applyFill="1" applyBorder="1" applyAlignment="1">
      <alignment horizontal="center" vertical="center" wrapText="1"/>
    </xf>
    <xf numFmtId="0" fontId="8" fillId="2" borderId="72" xfId="0" applyFont="1" applyFill="1" applyBorder="1" applyAlignment="1">
      <alignment horizontal="center" vertical="center" wrapText="1"/>
    </xf>
    <xf numFmtId="0" fontId="8" fillId="2" borderId="89" xfId="0" applyFont="1" applyFill="1" applyBorder="1" applyAlignment="1">
      <alignment horizontal="center" vertical="center" wrapText="1"/>
    </xf>
    <xf numFmtId="0" fontId="8" fillId="2" borderId="8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552450</xdr:colOff>
      <xdr:row>0</xdr:row>
      <xdr:rowOff>358140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4F6647-7376-4F35-BB14-9542F7795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2979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showGridLines="0" topLeftCell="A58" workbookViewId="0">
      <selection activeCell="A18" sqref="A18:D84"/>
    </sheetView>
  </sheetViews>
  <sheetFormatPr baseColWidth="10" defaultRowHeight="15" x14ac:dyDescent="0.2"/>
  <cols>
    <col min="1" max="1" width="13.1640625" customWidth="1"/>
    <col min="2" max="3" width="5" customWidth="1"/>
    <col min="4" max="10" width="11.1640625" customWidth="1"/>
  </cols>
  <sheetData>
    <row r="1" spans="1:10" ht="30.75" customHeight="1" x14ac:dyDescent="0.35">
      <c r="F1" s="127" t="s">
        <v>5</v>
      </c>
      <c r="G1" s="127"/>
      <c r="H1" s="127"/>
      <c r="I1" s="127"/>
      <c r="J1" s="127"/>
    </row>
    <row r="2" spans="1:10" ht="21.75" customHeight="1" x14ac:dyDescent="0.35">
      <c r="A2" s="1" t="s">
        <v>0</v>
      </c>
      <c r="F2" s="127" t="s">
        <v>6</v>
      </c>
      <c r="G2" s="127"/>
      <c r="H2" s="127"/>
      <c r="I2" s="127"/>
      <c r="J2" s="127"/>
    </row>
    <row r="3" spans="1:10" ht="13.5" customHeight="1" x14ac:dyDescent="0.2">
      <c r="A3" s="1" t="s">
        <v>1</v>
      </c>
      <c r="F3" s="128" t="s">
        <v>42</v>
      </c>
      <c r="G3" s="128"/>
      <c r="H3" s="128"/>
      <c r="I3" s="128"/>
      <c r="J3" s="128"/>
    </row>
    <row r="4" spans="1:10" ht="13.5" customHeight="1" x14ac:dyDescent="0.2">
      <c r="A4" s="7" t="s">
        <v>38</v>
      </c>
      <c r="F4" s="128" t="s">
        <v>43</v>
      </c>
      <c r="G4" s="128"/>
      <c r="H4" s="128"/>
      <c r="I4" s="128"/>
      <c r="J4" s="128"/>
    </row>
    <row r="5" spans="1:10" ht="14" customHeight="1" x14ac:dyDescent="0.2">
      <c r="A5" s="7" t="s">
        <v>39</v>
      </c>
      <c r="B5" s="3"/>
      <c r="C5" s="3"/>
    </row>
    <row r="6" spans="1:10" ht="13.25" customHeight="1" x14ac:dyDescent="0.2">
      <c r="A6" s="7" t="s">
        <v>40</v>
      </c>
      <c r="B6" s="3"/>
      <c r="C6" s="3"/>
      <c r="F6" s="23"/>
      <c r="G6" s="24"/>
      <c r="H6" s="49" t="s">
        <v>44</v>
      </c>
      <c r="I6" s="49"/>
      <c r="J6" s="48"/>
    </row>
    <row r="7" spans="1:10" ht="15.5" customHeight="1" x14ac:dyDescent="0.2">
      <c r="B7" s="3"/>
      <c r="C7" s="3"/>
      <c r="F7" s="50"/>
      <c r="J7" s="2"/>
    </row>
    <row r="8" spans="1:10" x14ac:dyDescent="0.2">
      <c r="F8" s="126"/>
      <c r="G8" s="107"/>
      <c r="H8" s="107"/>
      <c r="I8" s="107"/>
      <c r="J8" s="108"/>
    </row>
    <row r="9" spans="1:10" x14ac:dyDescent="0.2">
      <c r="A9" s="43" t="s">
        <v>2</v>
      </c>
      <c r="B9" s="43"/>
      <c r="C9" s="43"/>
      <c r="D9" s="43" t="s">
        <v>4</v>
      </c>
      <c r="F9" s="106"/>
      <c r="G9" s="107"/>
      <c r="H9" s="107"/>
      <c r="I9" s="107"/>
      <c r="J9" s="108"/>
    </row>
    <row r="10" spans="1:10" x14ac:dyDescent="0.2">
      <c r="A10" s="43" t="s">
        <v>3</v>
      </c>
      <c r="B10" s="43"/>
      <c r="C10" s="43"/>
      <c r="D10" s="43"/>
      <c r="F10" s="106"/>
      <c r="G10" s="107"/>
      <c r="H10" s="107"/>
      <c r="I10" s="107"/>
      <c r="J10" s="108"/>
    </row>
    <row r="11" spans="1:10" x14ac:dyDescent="0.2">
      <c r="E11" s="43"/>
      <c r="F11" s="106"/>
      <c r="G11" s="107"/>
      <c r="H11" s="107"/>
      <c r="I11" s="107"/>
      <c r="J11" s="108"/>
    </row>
    <row r="12" spans="1:10" x14ac:dyDescent="0.2">
      <c r="E12" s="43"/>
      <c r="F12" s="106"/>
      <c r="G12" s="107"/>
      <c r="H12" s="107"/>
      <c r="I12" s="107"/>
      <c r="J12" s="108"/>
    </row>
    <row r="13" spans="1:10" x14ac:dyDescent="0.2">
      <c r="A13" s="43"/>
      <c r="B13" s="43"/>
      <c r="C13" s="43"/>
      <c r="D13" s="43"/>
      <c r="E13" s="43"/>
      <c r="F13" s="109"/>
      <c r="G13" s="110"/>
      <c r="H13" s="110"/>
      <c r="I13" s="110"/>
      <c r="J13" s="111"/>
    </row>
    <row r="14" spans="1:10" ht="19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44" t="s">
        <v>20</v>
      </c>
    </row>
    <row r="15" spans="1:10" ht="18" customHeight="1" x14ac:dyDescent="0.2">
      <c r="A15" s="112" t="s">
        <v>7</v>
      </c>
      <c r="B15" s="115" t="s">
        <v>8</v>
      </c>
      <c r="C15" s="118" t="s">
        <v>9</v>
      </c>
      <c r="D15" s="121" t="s">
        <v>21</v>
      </c>
      <c r="E15" s="51" t="s">
        <v>10</v>
      </c>
      <c r="F15" s="52"/>
      <c r="G15" s="123" t="s">
        <v>11</v>
      </c>
      <c r="H15" s="124"/>
      <c r="I15" s="124"/>
      <c r="J15" s="125"/>
    </row>
    <row r="16" spans="1:10" ht="24" x14ac:dyDescent="0.2">
      <c r="A16" s="113"/>
      <c r="B16" s="116"/>
      <c r="C16" s="119"/>
      <c r="D16" s="122"/>
      <c r="E16" s="4" t="s">
        <v>17</v>
      </c>
      <c r="F16" s="53" t="s">
        <v>22</v>
      </c>
      <c r="G16" s="74" t="s">
        <v>22</v>
      </c>
      <c r="H16" s="72" t="s">
        <v>37</v>
      </c>
      <c r="I16" s="68" t="s">
        <v>23</v>
      </c>
      <c r="J16" s="85" t="s">
        <v>24</v>
      </c>
    </row>
    <row r="17" spans="1:10" ht="16" thickBot="1" x14ac:dyDescent="0.25">
      <c r="A17" s="114"/>
      <c r="B17" s="117"/>
      <c r="C17" s="120"/>
      <c r="D17" s="13">
        <v>1</v>
      </c>
      <c r="E17" s="14">
        <v>2</v>
      </c>
      <c r="F17" s="54">
        <v>3</v>
      </c>
      <c r="G17" s="63">
        <v>4</v>
      </c>
      <c r="H17" s="69">
        <v>5</v>
      </c>
      <c r="I17" s="83">
        <v>6</v>
      </c>
      <c r="J17" s="73">
        <v>7</v>
      </c>
    </row>
    <row r="18" spans="1:10" x14ac:dyDescent="0.2">
      <c r="A18" s="99"/>
      <c r="B18" s="87"/>
      <c r="C18" s="88"/>
      <c r="D18" s="45"/>
      <c r="E18" s="30"/>
      <c r="F18" s="55"/>
      <c r="G18" s="58"/>
      <c r="H18" s="70"/>
      <c r="I18" s="64"/>
      <c r="J18" s="60"/>
    </row>
    <row r="19" spans="1:10" x14ac:dyDescent="0.2">
      <c r="A19" s="100"/>
      <c r="B19" s="86"/>
      <c r="C19" s="88"/>
      <c r="D19" s="45"/>
      <c r="E19" s="30"/>
      <c r="F19" s="55"/>
      <c r="G19" s="58"/>
      <c r="H19" s="70"/>
      <c r="I19" s="64"/>
      <c r="J19" s="60"/>
    </row>
    <row r="20" spans="1:10" x14ac:dyDescent="0.2">
      <c r="A20" s="100"/>
      <c r="B20" s="86"/>
      <c r="C20" s="89"/>
      <c r="D20" s="45"/>
      <c r="E20" s="30"/>
      <c r="F20" s="55"/>
      <c r="G20" s="58"/>
      <c r="H20" s="70"/>
      <c r="I20" s="64"/>
      <c r="J20" s="60"/>
    </row>
    <row r="21" spans="1:10" x14ac:dyDescent="0.2">
      <c r="A21" s="100"/>
      <c r="B21" s="86"/>
      <c r="C21" s="88"/>
      <c r="D21" s="45"/>
      <c r="E21" s="30"/>
      <c r="F21" s="55"/>
      <c r="G21" s="58"/>
      <c r="H21" s="70"/>
      <c r="I21" s="64"/>
      <c r="J21" s="60"/>
    </row>
    <row r="22" spans="1:10" x14ac:dyDescent="0.2">
      <c r="A22" s="100"/>
      <c r="B22" s="86"/>
      <c r="C22" s="88"/>
      <c r="D22" s="45"/>
      <c r="E22" s="30"/>
      <c r="F22" s="55"/>
      <c r="G22" s="58"/>
      <c r="H22" s="70"/>
      <c r="I22" s="64"/>
      <c r="J22" s="60"/>
    </row>
    <row r="23" spans="1:10" x14ac:dyDescent="0.2">
      <c r="A23" s="100"/>
      <c r="B23" s="86"/>
      <c r="C23" s="89"/>
      <c r="D23" s="45"/>
      <c r="E23" s="30"/>
      <c r="F23" s="55"/>
      <c r="G23" s="58"/>
      <c r="H23" s="70"/>
      <c r="I23" s="64"/>
      <c r="J23" s="60"/>
    </row>
    <row r="24" spans="1:10" x14ac:dyDescent="0.2">
      <c r="A24" s="100"/>
      <c r="B24" s="86"/>
      <c r="C24" s="88"/>
      <c r="D24" s="45"/>
      <c r="E24" s="30"/>
      <c r="F24" s="55"/>
      <c r="G24" s="58"/>
      <c r="H24" s="70"/>
      <c r="I24" s="64"/>
      <c r="J24" s="60"/>
    </row>
    <row r="25" spans="1:10" x14ac:dyDescent="0.2">
      <c r="A25" s="100"/>
      <c r="B25" s="86"/>
      <c r="C25" s="89"/>
      <c r="D25" s="45"/>
      <c r="E25" s="30"/>
      <c r="F25" s="55"/>
      <c r="G25" s="58"/>
      <c r="H25" s="70"/>
      <c r="I25" s="64"/>
      <c r="J25" s="60"/>
    </row>
    <row r="26" spans="1:10" x14ac:dyDescent="0.2">
      <c r="A26" s="100"/>
      <c r="B26" s="86"/>
      <c r="C26" s="89"/>
      <c r="D26" s="45"/>
      <c r="E26" s="30"/>
      <c r="F26" s="55"/>
      <c r="G26" s="58"/>
      <c r="H26" s="70"/>
      <c r="I26" s="64"/>
      <c r="J26" s="60"/>
    </row>
    <row r="27" spans="1:10" x14ac:dyDescent="0.2">
      <c r="A27" s="100"/>
      <c r="B27" s="86"/>
      <c r="C27" s="89"/>
      <c r="D27" s="45"/>
      <c r="E27" s="30"/>
      <c r="F27" s="55"/>
      <c r="G27" s="58"/>
      <c r="H27" s="70"/>
      <c r="I27" s="64"/>
      <c r="J27" s="60"/>
    </row>
    <row r="28" spans="1:10" x14ac:dyDescent="0.2">
      <c r="A28" s="100"/>
      <c r="B28" s="86"/>
      <c r="C28" s="89"/>
      <c r="D28" s="45"/>
      <c r="E28" s="30"/>
      <c r="F28" s="55"/>
      <c r="G28" s="58"/>
      <c r="H28" s="70"/>
      <c r="I28" s="64"/>
      <c r="J28" s="60"/>
    </row>
    <row r="29" spans="1:10" x14ac:dyDescent="0.2">
      <c r="A29" s="100"/>
      <c r="B29" s="86"/>
      <c r="C29" s="89"/>
      <c r="D29" s="45"/>
      <c r="E29" s="30"/>
      <c r="F29" s="55"/>
      <c r="G29" s="58"/>
      <c r="H29" s="70"/>
      <c r="I29" s="64"/>
      <c r="J29" s="60"/>
    </row>
    <row r="30" spans="1:10" x14ac:dyDescent="0.2">
      <c r="A30" s="100"/>
      <c r="B30" s="86"/>
      <c r="C30" s="89"/>
      <c r="D30" s="45"/>
      <c r="E30" s="30"/>
      <c r="F30" s="55"/>
      <c r="G30" s="58"/>
      <c r="H30" s="70"/>
      <c r="I30" s="64"/>
      <c r="J30" s="60"/>
    </row>
    <row r="31" spans="1:10" x14ac:dyDescent="0.2">
      <c r="A31" s="100"/>
      <c r="B31" s="86"/>
      <c r="C31" s="89"/>
      <c r="D31" s="45"/>
      <c r="E31" s="30"/>
      <c r="F31" s="55"/>
      <c r="G31" s="58"/>
      <c r="H31" s="70"/>
      <c r="I31" s="64"/>
      <c r="J31" s="60"/>
    </row>
    <row r="32" spans="1:10" x14ac:dyDescent="0.2">
      <c r="A32" s="100"/>
      <c r="B32" s="86"/>
      <c r="C32" s="89"/>
      <c r="D32" s="45"/>
      <c r="E32" s="30"/>
      <c r="F32" s="55"/>
      <c r="G32" s="58"/>
      <c r="H32" s="70"/>
      <c r="I32" s="64"/>
      <c r="J32" s="60"/>
    </row>
    <row r="33" spans="1:10" x14ac:dyDescent="0.2">
      <c r="A33" s="100"/>
      <c r="B33" s="86"/>
      <c r="C33" s="89"/>
      <c r="D33" s="45"/>
      <c r="E33" s="30"/>
      <c r="F33" s="55"/>
      <c r="G33" s="58"/>
      <c r="H33" s="70"/>
      <c r="I33" s="64"/>
      <c r="J33" s="60"/>
    </row>
    <row r="34" spans="1:10" x14ac:dyDescent="0.2">
      <c r="A34" s="100"/>
      <c r="B34" s="86"/>
      <c r="C34" s="89"/>
      <c r="D34" s="45"/>
      <c r="E34" s="30"/>
      <c r="F34" s="55"/>
      <c r="G34" s="58"/>
      <c r="H34" s="70"/>
      <c r="I34" s="64"/>
      <c r="J34" s="60"/>
    </row>
    <row r="35" spans="1:10" x14ac:dyDescent="0.2">
      <c r="A35" s="100"/>
      <c r="B35" s="86"/>
      <c r="C35" s="89"/>
      <c r="D35" s="45"/>
      <c r="E35" s="30"/>
      <c r="F35" s="55"/>
      <c r="G35" s="58"/>
      <c r="H35" s="70"/>
      <c r="I35" s="64"/>
      <c r="J35" s="60"/>
    </row>
    <row r="36" spans="1:10" x14ac:dyDescent="0.2">
      <c r="A36" s="100"/>
      <c r="B36" s="86"/>
      <c r="C36" s="89"/>
      <c r="D36" s="45"/>
      <c r="E36" s="30"/>
      <c r="F36" s="55"/>
      <c r="G36" s="58"/>
      <c r="H36" s="70"/>
      <c r="I36" s="64"/>
      <c r="J36" s="60"/>
    </row>
    <row r="37" spans="1:10" x14ac:dyDescent="0.2">
      <c r="A37" s="100"/>
      <c r="B37" s="86"/>
      <c r="C37" s="89"/>
      <c r="D37" s="45"/>
      <c r="E37" s="30"/>
      <c r="F37" s="55"/>
      <c r="G37" s="58"/>
      <c r="H37" s="70"/>
      <c r="I37" s="64"/>
      <c r="J37" s="60"/>
    </row>
    <row r="38" spans="1:10" x14ac:dyDescent="0.2">
      <c r="A38" s="100"/>
      <c r="B38" s="86"/>
      <c r="C38" s="89"/>
      <c r="D38" s="45"/>
      <c r="E38" s="30"/>
      <c r="F38" s="55"/>
      <c r="G38" s="58"/>
      <c r="H38" s="70"/>
      <c r="I38" s="64"/>
      <c r="J38" s="60"/>
    </row>
    <row r="39" spans="1:10" x14ac:dyDescent="0.2">
      <c r="A39" s="100"/>
      <c r="B39" s="86"/>
      <c r="C39" s="89"/>
      <c r="D39" s="45"/>
      <c r="E39" s="30"/>
      <c r="F39" s="55"/>
      <c r="G39" s="58"/>
      <c r="H39" s="70"/>
      <c r="I39" s="64"/>
      <c r="J39" s="60"/>
    </row>
    <row r="40" spans="1:10" x14ac:dyDescent="0.2">
      <c r="A40" s="100"/>
      <c r="B40" s="86"/>
      <c r="C40" s="89"/>
      <c r="D40" s="45"/>
      <c r="E40" s="30"/>
      <c r="F40" s="55"/>
      <c r="G40" s="58"/>
      <c r="H40" s="70"/>
      <c r="I40" s="64"/>
      <c r="J40" s="60"/>
    </row>
    <row r="41" spans="1:10" x14ac:dyDescent="0.2">
      <c r="A41" s="100"/>
      <c r="B41" s="86"/>
      <c r="C41" s="89"/>
      <c r="D41" s="45"/>
      <c r="E41" s="30"/>
      <c r="F41" s="55"/>
      <c r="G41" s="58"/>
      <c r="H41" s="70"/>
      <c r="I41" s="64"/>
      <c r="J41" s="60"/>
    </row>
    <row r="42" spans="1:10" x14ac:dyDescent="0.2">
      <c r="A42" s="100"/>
      <c r="B42" s="86"/>
      <c r="C42" s="89"/>
      <c r="D42" s="46"/>
      <c r="E42" s="31"/>
      <c r="F42" s="56"/>
      <c r="G42" s="58"/>
      <c r="H42" s="70"/>
      <c r="I42" s="64"/>
      <c r="J42" s="60"/>
    </row>
    <row r="43" spans="1:10" x14ac:dyDescent="0.2">
      <c r="A43" s="100"/>
      <c r="B43" s="86"/>
      <c r="C43" s="89"/>
      <c r="D43" s="46"/>
      <c r="E43" s="31"/>
      <c r="F43" s="56"/>
      <c r="G43" s="58"/>
      <c r="H43" s="70"/>
      <c r="I43" s="64"/>
      <c r="J43" s="60"/>
    </row>
    <row r="44" spans="1:10" x14ac:dyDescent="0.2">
      <c r="A44" s="100"/>
      <c r="B44" s="86"/>
      <c r="C44" s="89"/>
      <c r="D44" s="46"/>
      <c r="E44" s="31"/>
      <c r="F44" s="56"/>
      <c r="G44" s="58"/>
      <c r="H44" s="70"/>
      <c r="I44" s="64"/>
      <c r="J44" s="60"/>
    </row>
    <row r="45" spans="1:10" x14ac:dyDescent="0.2">
      <c r="A45" s="100"/>
      <c r="B45" s="86"/>
      <c r="C45" s="89"/>
      <c r="D45" s="46"/>
      <c r="E45" s="31"/>
      <c r="F45" s="56"/>
      <c r="G45" s="58"/>
      <c r="H45" s="70"/>
      <c r="I45" s="64"/>
      <c r="J45" s="60"/>
    </row>
    <row r="46" spans="1:10" x14ac:dyDescent="0.2">
      <c r="A46" s="100"/>
      <c r="B46" s="86"/>
      <c r="C46" s="89"/>
      <c r="D46" s="46"/>
      <c r="E46" s="31"/>
      <c r="F46" s="56"/>
      <c r="G46" s="58"/>
      <c r="H46" s="70"/>
      <c r="I46" s="64"/>
      <c r="J46" s="60"/>
    </row>
    <row r="47" spans="1:10" x14ac:dyDescent="0.2">
      <c r="A47" s="100"/>
      <c r="B47" s="86"/>
      <c r="C47" s="89"/>
      <c r="D47" s="46"/>
      <c r="E47" s="31"/>
      <c r="F47" s="56"/>
      <c r="G47" s="58"/>
      <c r="H47" s="70"/>
      <c r="I47" s="64"/>
      <c r="J47" s="60"/>
    </row>
    <row r="48" spans="1:10" x14ac:dyDescent="0.2">
      <c r="A48" s="100"/>
      <c r="B48" s="86"/>
      <c r="C48" s="89"/>
      <c r="D48" s="46"/>
      <c r="E48" s="31"/>
      <c r="F48" s="56"/>
      <c r="G48" s="58"/>
      <c r="H48" s="70"/>
      <c r="I48" s="64"/>
      <c r="J48" s="60"/>
    </row>
    <row r="49" spans="1:10" x14ac:dyDescent="0.2">
      <c r="A49" s="100"/>
      <c r="B49" s="86"/>
      <c r="C49" s="89"/>
      <c r="D49" s="46"/>
      <c r="E49" s="31"/>
      <c r="F49" s="56"/>
      <c r="G49" s="58"/>
      <c r="H49" s="70"/>
      <c r="I49" s="64"/>
      <c r="J49" s="60"/>
    </row>
    <row r="50" spans="1:10" x14ac:dyDescent="0.2">
      <c r="A50" s="100"/>
      <c r="B50" s="86"/>
      <c r="C50" s="89"/>
      <c r="D50" s="47"/>
      <c r="E50" s="32"/>
      <c r="F50" s="57"/>
      <c r="G50" s="58"/>
      <c r="H50" s="70"/>
      <c r="I50" s="64"/>
      <c r="J50" s="61"/>
    </row>
    <row r="51" spans="1:10" x14ac:dyDescent="0.2">
      <c r="A51" s="100"/>
      <c r="B51" s="86"/>
      <c r="C51" s="89"/>
      <c r="D51" s="47"/>
      <c r="E51" s="32"/>
      <c r="F51" s="57"/>
      <c r="G51" s="58"/>
      <c r="H51" s="70"/>
      <c r="I51" s="64"/>
      <c r="J51" s="61"/>
    </row>
    <row r="52" spans="1:10" x14ac:dyDescent="0.2">
      <c r="A52" s="100"/>
      <c r="B52" s="86"/>
      <c r="C52" s="89"/>
      <c r="D52" s="47"/>
      <c r="E52" s="32"/>
      <c r="F52" s="57"/>
      <c r="G52" s="58"/>
      <c r="H52" s="70"/>
      <c r="I52" s="64"/>
      <c r="J52" s="61"/>
    </row>
    <row r="53" spans="1:10" x14ac:dyDescent="0.2">
      <c r="A53" s="100"/>
      <c r="B53" s="86"/>
      <c r="C53" s="89"/>
      <c r="D53" s="47"/>
      <c r="E53" s="32"/>
      <c r="F53" s="57"/>
      <c r="G53" s="58"/>
      <c r="H53" s="70"/>
      <c r="I53" s="64"/>
      <c r="J53" s="61"/>
    </row>
    <row r="54" spans="1:10" x14ac:dyDescent="0.2">
      <c r="A54" s="100"/>
      <c r="B54" s="86"/>
      <c r="C54" s="89"/>
      <c r="D54" s="47"/>
      <c r="E54" s="32"/>
      <c r="F54" s="57"/>
      <c r="G54" s="58"/>
      <c r="H54" s="70"/>
      <c r="I54" s="64"/>
      <c r="J54" s="61"/>
    </row>
    <row r="55" spans="1:10" x14ac:dyDescent="0.2">
      <c r="A55" s="100"/>
      <c r="B55" s="86"/>
      <c r="C55" s="89"/>
      <c r="D55" s="47"/>
      <c r="E55" s="32"/>
      <c r="F55" s="57"/>
      <c r="G55" s="58"/>
      <c r="H55" s="70"/>
      <c r="I55" s="64"/>
      <c r="J55" s="61"/>
    </row>
    <row r="56" spans="1:10" x14ac:dyDescent="0.2">
      <c r="A56" s="100"/>
      <c r="B56" s="86"/>
      <c r="C56" s="89"/>
      <c r="D56" s="47"/>
      <c r="E56" s="32"/>
      <c r="F56" s="57"/>
      <c r="G56" s="58"/>
      <c r="H56" s="70"/>
      <c r="I56" s="64"/>
      <c r="J56" s="61"/>
    </row>
    <row r="57" spans="1:10" x14ac:dyDescent="0.2">
      <c r="A57" s="100"/>
      <c r="B57" s="86"/>
      <c r="C57" s="89"/>
      <c r="D57" s="47"/>
      <c r="E57" s="32"/>
      <c r="F57" s="57"/>
      <c r="G57" s="58"/>
      <c r="H57" s="70"/>
      <c r="I57" s="64"/>
      <c r="J57" s="61"/>
    </row>
    <row r="58" spans="1:10" x14ac:dyDescent="0.2">
      <c r="A58" s="100"/>
      <c r="B58" s="86"/>
      <c r="C58" s="89"/>
      <c r="D58" s="47"/>
      <c r="E58" s="32"/>
      <c r="F58" s="57"/>
      <c r="G58" s="58"/>
      <c r="H58" s="70"/>
      <c r="I58" s="64"/>
      <c r="J58" s="61"/>
    </row>
    <row r="59" spans="1:10" x14ac:dyDescent="0.2">
      <c r="A59" s="100"/>
      <c r="B59" s="86"/>
      <c r="C59" s="89"/>
      <c r="D59" s="47"/>
      <c r="E59" s="32"/>
      <c r="F59" s="57"/>
      <c r="G59" s="58"/>
      <c r="H59" s="70"/>
      <c r="I59" s="64"/>
      <c r="J59" s="61"/>
    </row>
    <row r="60" spans="1:10" x14ac:dyDescent="0.2">
      <c r="A60" s="100"/>
      <c r="B60" s="86"/>
      <c r="C60" s="89"/>
      <c r="D60" s="47"/>
      <c r="E60" s="32"/>
      <c r="F60" s="57"/>
      <c r="G60" s="58"/>
      <c r="H60" s="70"/>
      <c r="I60" s="64"/>
      <c r="J60" s="61"/>
    </row>
    <row r="61" spans="1:10" x14ac:dyDescent="0.2">
      <c r="A61" s="100"/>
      <c r="B61" s="86"/>
      <c r="C61" s="89"/>
      <c r="D61" s="47"/>
      <c r="E61" s="32"/>
      <c r="F61" s="57"/>
      <c r="G61" s="58"/>
      <c r="H61" s="70"/>
      <c r="I61" s="64"/>
      <c r="J61" s="61"/>
    </row>
    <row r="62" spans="1:10" x14ac:dyDescent="0.2">
      <c r="A62" s="100"/>
      <c r="B62" s="86"/>
      <c r="C62" s="89"/>
      <c r="D62" s="47"/>
      <c r="E62" s="32"/>
      <c r="F62" s="57"/>
      <c r="G62" s="58"/>
      <c r="H62" s="70"/>
      <c r="I62" s="64"/>
      <c r="J62" s="61"/>
    </row>
    <row r="63" spans="1:10" x14ac:dyDescent="0.2">
      <c r="A63" s="100"/>
      <c r="B63" s="86"/>
      <c r="C63" s="89"/>
      <c r="D63" s="47"/>
      <c r="E63" s="32"/>
      <c r="F63" s="57"/>
      <c r="G63" s="58"/>
      <c r="H63" s="70"/>
      <c r="I63" s="64"/>
      <c r="J63" s="61"/>
    </row>
    <row r="64" spans="1:10" x14ac:dyDescent="0.2">
      <c r="A64" s="100"/>
      <c r="B64" s="86"/>
      <c r="C64" s="89"/>
      <c r="D64" s="47"/>
      <c r="E64" s="32"/>
      <c r="F64" s="57"/>
      <c r="G64" s="58"/>
      <c r="H64" s="70"/>
      <c r="I64" s="64"/>
      <c r="J64" s="61"/>
    </row>
    <row r="65" spans="1:10" x14ac:dyDescent="0.2">
      <c r="A65" s="100"/>
      <c r="B65" s="86"/>
      <c r="C65" s="89"/>
      <c r="D65" s="47"/>
      <c r="E65" s="32"/>
      <c r="F65" s="57"/>
      <c r="G65" s="58"/>
      <c r="H65" s="70"/>
      <c r="I65" s="64"/>
      <c r="J65" s="61"/>
    </row>
    <row r="66" spans="1:10" x14ac:dyDescent="0.2">
      <c r="A66" s="100"/>
      <c r="B66" s="86"/>
      <c r="C66" s="89"/>
      <c r="D66" s="47"/>
      <c r="E66" s="32"/>
      <c r="F66" s="57"/>
      <c r="G66" s="58"/>
      <c r="H66" s="70"/>
      <c r="I66" s="64"/>
      <c r="J66" s="61"/>
    </row>
    <row r="67" spans="1:10" x14ac:dyDescent="0.2">
      <c r="A67" s="100"/>
      <c r="B67" s="86"/>
      <c r="C67" s="89"/>
      <c r="D67" s="47"/>
      <c r="E67" s="32"/>
      <c r="F67" s="57"/>
      <c r="G67" s="58"/>
      <c r="H67" s="70"/>
      <c r="I67" s="64"/>
      <c r="J67" s="61"/>
    </row>
    <row r="68" spans="1:10" x14ac:dyDescent="0.2">
      <c r="A68" s="100"/>
      <c r="B68" s="86"/>
      <c r="C68" s="89"/>
      <c r="D68" s="47"/>
      <c r="E68" s="32"/>
      <c r="F68" s="57"/>
      <c r="G68" s="58"/>
      <c r="H68" s="70"/>
      <c r="I68" s="65"/>
      <c r="J68" s="61"/>
    </row>
    <row r="69" spans="1:10" x14ac:dyDescent="0.2">
      <c r="A69" s="100"/>
      <c r="B69" s="86"/>
      <c r="C69" s="89"/>
      <c r="D69" s="47"/>
      <c r="E69" s="32"/>
      <c r="F69" s="57"/>
      <c r="G69" s="58"/>
      <c r="H69" s="70"/>
      <c r="I69" s="65"/>
      <c r="J69" s="61"/>
    </row>
    <row r="70" spans="1:10" x14ac:dyDescent="0.2">
      <c r="A70" s="100"/>
      <c r="B70" s="86"/>
      <c r="C70" s="89"/>
      <c r="D70" s="47"/>
      <c r="E70" s="32"/>
      <c r="F70" s="57"/>
      <c r="G70" s="58"/>
      <c r="H70" s="70"/>
      <c r="I70" s="65"/>
      <c r="J70" s="61"/>
    </row>
    <row r="71" spans="1:10" x14ac:dyDescent="0.2">
      <c r="A71" s="100"/>
      <c r="B71" s="86"/>
      <c r="C71" s="89"/>
      <c r="D71" s="47"/>
      <c r="E71" s="32"/>
      <c r="F71" s="57"/>
      <c r="G71" s="58"/>
      <c r="H71" s="70"/>
      <c r="I71" s="65"/>
      <c r="J71" s="61"/>
    </row>
    <row r="72" spans="1:10" x14ac:dyDescent="0.2">
      <c r="A72" s="100"/>
      <c r="B72" s="86"/>
      <c r="C72" s="89"/>
      <c r="D72" s="47"/>
      <c r="E72" s="32"/>
      <c r="F72" s="57"/>
      <c r="G72" s="58"/>
      <c r="H72" s="70"/>
      <c r="I72" s="65"/>
      <c r="J72" s="61"/>
    </row>
    <row r="73" spans="1:10" x14ac:dyDescent="0.2">
      <c r="A73" s="100"/>
      <c r="B73" s="86"/>
      <c r="C73" s="89"/>
      <c r="D73" s="47"/>
      <c r="E73" s="32"/>
      <c r="F73" s="57"/>
      <c r="G73" s="58"/>
      <c r="H73" s="70"/>
      <c r="I73" s="65"/>
      <c r="J73" s="61"/>
    </row>
    <row r="74" spans="1:10" x14ac:dyDescent="0.2">
      <c r="A74" s="100"/>
      <c r="B74" s="86"/>
      <c r="C74" s="89"/>
      <c r="D74" s="47"/>
      <c r="E74" s="32"/>
      <c r="F74" s="57"/>
      <c r="G74" s="58"/>
      <c r="H74" s="70"/>
      <c r="I74" s="65"/>
      <c r="J74" s="61"/>
    </row>
    <row r="75" spans="1:10" x14ac:dyDescent="0.2">
      <c r="A75" s="100"/>
      <c r="B75" s="86"/>
      <c r="C75" s="89"/>
      <c r="D75" s="47"/>
      <c r="E75" s="32"/>
      <c r="F75" s="57"/>
      <c r="G75" s="58"/>
      <c r="H75" s="70"/>
      <c r="I75" s="65"/>
      <c r="J75" s="61"/>
    </row>
    <row r="76" spans="1:10" x14ac:dyDescent="0.2">
      <c r="A76" s="100"/>
      <c r="B76" s="86"/>
      <c r="C76" s="89"/>
      <c r="D76" s="47"/>
      <c r="E76" s="32"/>
      <c r="F76" s="57"/>
      <c r="G76" s="58"/>
      <c r="H76" s="70"/>
      <c r="I76" s="65"/>
      <c r="J76" s="61"/>
    </row>
    <row r="77" spans="1:10" x14ac:dyDescent="0.2">
      <c r="A77" s="100"/>
      <c r="B77" s="86"/>
      <c r="C77" s="89"/>
      <c r="D77" s="47"/>
      <c r="E77" s="32"/>
      <c r="F77" s="57"/>
      <c r="G77" s="58"/>
      <c r="H77" s="70"/>
      <c r="I77" s="65"/>
      <c r="J77" s="61"/>
    </row>
    <row r="78" spans="1:10" x14ac:dyDescent="0.2">
      <c r="A78" s="100"/>
      <c r="B78" s="86"/>
      <c r="C78" s="89"/>
      <c r="D78" s="47"/>
      <c r="E78" s="32"/>
      <c r="F78" s="57"/>
      <c r="G78" s="58"/>
      <c r="H78" s="70"/>
      <c r="I78" s="65"/>
      <c r="J78" s="61"/>
    </row>
    <row r="79" spans="1:10" x14ac:dyDescent="0.2">
      <c r="A79" s="100"/>
      <c r="B79" s="86"/>
      <c r="C79" s="89"/>
      <c r="D79" s="47"/>
      <c r="E79" s="32"/>
      <c r="F79" s="57"/>
      <c r="G79" s="58"/>
      <c r="H79" s="70"/>
      <c r="I79" s="65"/>
      <c r="J79" s="61"/>
    </row>
    <row r="80" spans="1:10" x14ac:dyDescent="0.2">
      <c r="A80" s="100"/>
      <c r="B80" s="86"/>
      <c r="C80" s="89"/>
      <c r="D80" s="47"/>
      <c r="E80" s="32"/>
      <c r="F80" s="57"/>
      <c r="G80" s="58"/>
      <c r="H80" s="70"/>
      <c r="I80" s="65"/>
      <c r="J80" s="61"/>
    </row>
    <row r="81" spans="1:10" x14ac:dyDescent="0.2">
      <c r="A81" s="26"/>
      <c r="B81" s="86"/>
      <c r="C81" s="89"/>
      <c r="D81" s="47"/>
      <c r="E81" s="32"/>
      <c r="F81" s="57"/>
      <c r="G81" s="58"/>
      <c r="H81" s="70"/>
      <c r="I81" s="65"/>
      <c r="J81" s="61"/>
    </row>
    <row r="82" spans="1:10" x14ac:dyDescent="0.2">
      <c r="A82" s="26"/>
      <c r="B82" s="86"/>
      <c r="C82" s="89"/>
      <c r="D82" s="47"/>
      <c r="E82" s="32"/>
      <c r="F82" s="57"/>
      <c r="G82" s="58"/>
      <c r="H82" s="70"/>
      <c r="I82" s="65"/>
      <c r="J82" s="61"/>
    </row>
    <row r="83" spans="1:10" x14ac:dyDescent="0.2">
      <c r="A83" s="26"/>
      <c r="B83" s="86"/>
      <c r="C83" s="89"/>
      <c r="D83" s="47"/>
      <c r="E83" s="32"/>
      <c r="F83" s="57"/>
      <c r="G83" s="58"/>
      <c r="H83" s="70"/>
      <c r="I83" s="65"/>
      <c r="J83" s="61"/>
    </row>
    <row r="84" spans="1:10" x14ac:dyDescent="0.2">
      <c r="A84" s="26"/>
      <c r="B84" s="27"/>
      <c r="C84" s="28"/>
      <c r="D84" s="47"/>
      <c r="E84" s="32"/>
      <c r="F84" s="57"/>
      <c r="G84" s="58"/>
      <c r="H84" s="70"/>
      <c r="I84" s="65"/>
      <c r="J84" s="61"/>
    </row>
    <row r="85" spans="1:10" x14ac:dyDescent="0.2">
      <c r="A85" s="26"/>
      <c r="B85" s="27"/>
      <c r="C85" s="28"/>
      <c r="D85" s="47"/>
      <c r="E85" s="32"/>
      <c r="F85" s="57"/>
      <c r="G85" s="58"/>
      <c r="H85" s="70"/>
      <c r="I85" s="65"/>
      <c r="J85" s="61"/>
    </row>
    <row r="86" spans="1:10" x14ac:dyDescent="0.2">
      <c r="A86" s="26"/>
      <c r="B86" s="27"/>
      <c r="C86" s="28"/>
      <c r="D86" s="47"/>
      <c r="E86" s="32"/>
      <c r="F86" s="57"/>
      <c r="G86" s="58"/>
      <c r="H86" s="70"/>
      <c r="I86" s="65"/>
      <c r="J86" s="61"/>
    </row>
    <row r="87" spans="1:10" x14ac:dyDescent="0.2">
      <c r="A87" s="26"/>
      <c r="B87" s="27"/>
      <c r="C87" s="28"/>
      <c r="D87" s="47"/>
      <c r="E87" s="32"/>
      <c r="F87" s="57"/>
      <c r="G87" s="58"/>
      <c r="H87" s="70"/>
      <c r="I87" s="65"/>
      <c r="J87" s="61"/>
    </row>
    <row r="88" spans="1:10" ht="16" thickBot="1" x14ac:dyDescent="0.25">
      <c r="A88" s="26"/>
      <c r="B88" s="27"/>
      <c r="C88" s="28"/>
      <c r="D88" s="47"/>
      <c r="E88" s="32"/>
      <c r="F88" s="57"/>
      <c r="G88" s="58"/>
      <c r="H88" s="70"/>
      <c r="I88" s="65"/>
      <c r="J88" s="61"/>
    </row>
    <row r="89" spans="1:10" hidden="1" x14ac:dyDescent="0.2">
      <c r="A89" s="26"/>
      <c r="B89" s="27"/>
      <c r="C89" s="28"/>
      <c r="D89" s="47"/>
      <c r="E89" s="32"/>
      <c r="F89" s="57"/>
      <c r="G89" s="58"/>
      <c r="H89" s="70"/>
      <c r="I89" s="65"/>
      <c r="J89" s="61"/>
    </row>
    <row r="90" spans="1:10" hidden="1" x14ac:dyDescent="0.2">
      <c r="A90" s="26"/>
      <c r="B90" s="27"/>
      <c r="C90" s="28"/>
      <c r="D90" s="47"/>
      <c r="E90" s="32"/>
      <c r="F90" s="57"/>
      <c r="G90" s="58"/>
      <c r="H90" s="70"/>
      <c r="I90" s="65"/>
      <c r="J90" s="61"/>
    </row>
    <row r="91" spans="1:10" hidden="1" x14ac:dyDescent="0.2">
      <c r="A91" s="26"/>
      <c r="B91" s="27"/>
      <c r="C91" s="28"/>
      <c r="D91" s="47"/>
      <c r="E91" s="32"/>
      <c r="F91" s="57"/>
      <c r="G91" s="58"/>
      <c r="H91" s="70"/>
      <c r="I91" s="65"/>
      <c r="J91" s="61"/>
    </row>
    <row r="92" spans="1:10" hidden="1" x14ac:dyDescent="0.2">
      <c r="A92" s="26"/>
      <c r="B92" s="27"/>
      <c r="C92" s="28"/>
      <c r="D92" s="47"/>
      <c r="E92" s="32"/>
      <c r="F92" s="57"/>
      <c r="G92" s="58"/>
      <c r="H92" s="70"/>
      <c r="I92" s="65"/>
      <c r="J92" s="61"/>
    </row>
    <row r="93" spans="1:10" hidden="1" x14ac:dyDescent="0.2">
      <c r="A93" s="26"/>
      <c r="B93" s="27"/>
      <c r="C93" s="28"/>
      <c r="D93" s="47"/>
      <c r="E93" s="32"/>
      <c r="F93" s="57"/>
      <c r="G93" s="58"/>
      <c r="H93" s="70"/>
      <c r="I93" s="65"/>
      <c r="J93" s="61"/>
    </row>
    <row r="94" spans="1:10" hidden="1" x14ac:dyDescent="0.2">
      <c r="A94" s="26"/>
      <c r="B94" s="27"/>
      <c r="C94" s="28"/>
      <c r="D94" s="47"/>
      <c r="E94" s="32"/>
      <c r="F94" s="57"/>
      <c r="G94" s="58"/>
      <c r="H94" s="70"/>
      <c r="I94" s="65"/>
      <c r="J94" s="61"/>
    </row>
    <row r="95" spans="1:10" hidden="1" x14ac:dyDescent="0.2">
      <c r="A95" s="26"/>
      <c r="B95" s="27"/>
      <c r="C95" s="28"/>
      <c r="D95" s="47"/>
      <c r="E95" s="32"/>
      <c r="F95" s="57"/>
      <c r="G95" s="58"/>
      <c r="H95" s="70"/>
      <c r="I95" s="65"/>
      <c r="J95" s="61"/>
    </row>
    <row r="96" spans="1:10" hidden="1" x14ac:dyDescent="0.2">
      <c r="A96" s="26"/>
      <c r="B96" s="27"/>
      <c r="C96" s="28"/>
      <c r="D96" s="47"/>
      <c r="E96" s="32"/>
      <c r="F96" s="57"/>
      <c r="G96" s="58"/>
      <c r="H96" s="70"/>
      <c r="I96" s="65"/>
      <c r="J96" s="61"/>
    </row>
    <row r="97" spans="1:10" hidden="1" x14ac:dyDescent="0.2">
      <c r="A97" s="26"/>
      <c r="B97" s="27"/>
      <c r="C97" s="28"/>
      <c r="D97" s="47"/>
      <c r="E97" s="32"/>
      <c r="F97" s="57"/>
      <c r="G97" s="58"/>
      <c r="H97" s="70"/>
      <c r="I97" s="65"/>
      <c r="J97" s="61"/>
    </row>
    <row r="98" spans="1:10" hidden="1" x14ac:dyDescent="0.2">
      <c r="A98" s="26"/>
      <c r="B98" s="27"/>
      <c r="C98" s="28"/>
      <c r="D98" s="47"/>
      <c r="E98" s="32"/>
      <c r="F98" s="57"/>
      <c r="G98" s="58"/>
      <c r="H98" s="70"/>
      <c r="I98" s="65"/>
      <c r="J98" s="61"/>
    </row>
    <row r="99" spans="1:10" hidden="1" x14ac:dyDescent="0.2">
      <c r="A99" s="26"/>
      <c r="B99" s="27"/>
      <c r="C99" s="28"/>
      <c r="D99" s="47"/>
      <c r="E99" s="32"/>
      <c r="F99" s="57"/>
      <c r="G99" s="58"/>
      <c r="H99" s="70"/>
      <c r="I99" s="65"/>
      <c r="J99" s="61"/>
    </row>
    <row r="100" spans="1:10" hidden="1" x14ac:dyDescent="0.2">
      <c r="A100" s="26"/>
      <c r="B100" s="27"/>
      <c r="C100" s="28"/>
      <c r="D100" s="47"/>
      <c r="E100" s="32"/>
      <c r="F100" s="57"/>
      <c r="G100" s="58"/>
      <c r="H100" s="70"/>
      <c r="I100" s="65"/>
      <c r="J100" s="61"/>
    </row>
    <row r="101" spans="1:10" hidden="1" x14ac:dyDescent="0.2">
      <c r="A101" s="26"/>
      <c r="B101" s="27"/>
      <c r="C101" s="28"/>
      <c r="D101" s="47"/>
      <c r="E101" s="32"/>
      <c r="F101" s="57"/>
      <c r="G101" s="58"/>
      <c r="H101" s="70"/>
      <c r="I101" s="65"/>
      <c r="J101" s="61"/>
    </row>
    <row r="102" spans="1:10" hidden="1" x14ac:dyDescent="0.2">
      <c r="A102" s="26"/>
      <c r="B102" s="27"/>
      <c r="C102" s="28"/>
      <c r="D102" s="47"/>
      <c r="E102" s="32"/>
      <c r="F102" s="57"/>
      <c r="G102" s="58"/>
      <c r="H102" s="70"/>
      <c r="I102" s="65"/>
      <c r="J102" s="61"/>
    </row>
    <row r="103" spans="1:10" hidden="1" x14ac:dyDescent="0.2">
      <c r="A103" s="26"/>
      <c r="B103" s="27"/>
      <c r="C103" s="28"/>
      <c r="D103" s="47"/>
      <c r="E103" s="32"/>
      <c r="F103" s="57"/>
      <c r="G103" s="58"/>
      <c r="H103" s="70"/>
      <c r="I103" s="65"/>
      <c r="J103" s="61"/>
    </row>
    <row r="104" spans="1:10" hidden="1" x14ac:dyDescent="0.2">
      <c r="A104" s="26"/>
      <c r="B104" s="27"/>
      <c r="C104" s="28"/>
      <c r="D104" s="47"/>
      <c r="E104" s="32"/>
      <c r="F104" s="57"/>
      <c r="G104" s="58"/>
      <c r="H104" s="70"/>
      <c r="I104" s="65"/>
      <c r="J104" s="61"/>
    </row>
    <row r="105" spans="1:10" ht="16" hidden="1" thickBot="1" x14ac:dyDescent="0.25">
      <c r="A105" s="26"/>
      <c r="B105" s="27"/>
      <c r="C105" s="28"/>
      <c r="D105" s="47"/>
      <c r="E105" s="32"/>
      <c r="F105" s="57"/>
      <c r="G105" s="59"/>
      <c r="H105" s="71"/>
      <c r="I105" s="66"/>
      <c r="J105" s="62"/>
    </row>
    <row r="106" spans="1:10" x14ac:dyDescent="0.2">
      <c r="A106" s="5" t="s">
        <v>12</v>
      </c>
      <c r="B106" s="6"/>
      <c r="C106" s="6"/>
      <c r="D106" s="37">
        <f t="shared" ref="D106:J106" si="0">SUM(D18:D105)</f>
        <v>0</v>
      </c>
      <c r="E106" s="42">
        <f t="shared" si="0"/>
        <v>0</v>
      </c>
      <c r="F106" s="37">
        <f t="shared" si="0"/>
        <v>0</v>
      </c>
      <c r="G106" s="41">
        <f t="shared" si="0"/>
        <v>0</v>
      </c>
      <c r="H106" s="41">
        <f t="shared" si="0"/>
        <v>0</v>
      </c>
      <c r="I106" s="38">
        <f t="shared" si="0"/>
        <v>0</v>
      </c>
      <c r="J106" s="39">
        <f t="shared" si="0"/>
        <v>0</v>
      </c>
    </row>
    <row r="107" spans="1:10" s="12" customFormat="1" ht="12" thickBot="1" x14ac:dyDescent="0.2">
      <c r="A107" s="8" t="s">
        <v>13</v>
      </c>
      <c r="B107" s="9"/>
      <c r="C107" s="9"/>
      <c r="D107" s="10"/>
      <c r="E107" s="8" t="s">
        <v>14</v>
      </c>
      <c r="F107" s="10" t="s">
        <v>14</v>
      </c>
      <c r="G107" s="22" t="s">
        <v>14</v>
      </c>
      <c r="H107" s="18" t="s">
        <v>14</v>
      </c>
      <c r="I107" s="67" t="s">
        <v>14</v>
      </c>
      <c r="J107" s="11" t="s">
        <v>19</v>
      </c>
    </row>
    <row r="108" spans="1:10" ht="12" customHeight="1" x14ac:dyDescent="0.2">
      <c r="A108" s="25" t="s">
        <v>15</v>
      </c>
    </row>
    <row r="109" spans="1:10" ht="10.5" customHeight="1" x14ac:dyDescent="0.2">
      <c r="A109" s="25" t="s">
        <v>16</v>
      </c>
    </row>
  </sheetData>
  <sheetProtection insertRows="0" selectLockedCells="1"/>
  <mergeCells count="15">
    <mergeCell ref="F9:J9"/>
    <mergeCell ref="F8:J8"/>
    <mergeCell ref="F1:J1"/>
    <mergeCell ref="F2:J2"/>
    <mergeCell ref="F3:J3"/>
    <mergeCell ref="F4:J4"/>
    <mergeCell ref="F10:J10"/>
    <mergeCell ref="F11:J11"/>
    <mergeCell ref="F12:J12"/>
    <mergeCell ref="F13:J13"/>
    <mergeCell ref="A15:A17"/>
    <mergeCell ref="B15:B17"/>
    <mergeCell ref="C15:C17"/>
    <mergeCell ref="D15:D16"/>
    <mergeCell ref="G15:J15"/>
  </mergeCells>
  <conditionalFormatting sqref="J18:J106">
    <cfRule type="cellIs" dxfId="1" priority="10" operator="lessThan">
      <formula>#REF!</formula>
    </cfRule>
  </conditionalFormatting>
  <pageMargins left="0.15" right="0.12" top="0.19685039370078741" bottom="0.15748031496062992" header="0.19685039370078741" footer="0.15748031496062992"/>
  <pageSetup paperSize="9" scale="90" orientation="portrait" r:id="rId1"/>
  <ignoredErrors>
    <ignoredError sqref="D106:E106 G106 I106 F106 J106 H106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"/>
  <sheetViews>
    <sheetView showGridLines="0" tabSelected="1" topLeftCell="A58" workbookViewId="0">
      <selection activeCell="N113" sqref="N113"/>
    </sheetView>
  </sheetViews>
  <sheetFormatPr baseColWidth="10" defaultRowHeight="15" x14ac:dyDescent="0.2"/>
  <cols>
    <col min="1" max="6" width="11.1640625" customWidth="1"/>
    <col min="7" max="7" width="11.5" customWidth="1"/>
    <col min="8" max="9" width="5" customWidth="1"/>
    <col min="10" max="10" width="12.5" customWidth="1"/>
  </cols>
  <sheetData>
    <row r="1" spans="1:10" ht="12.75" customHeight="1" x14ac:dyDescent="0.2">
      <c r="E1" s="15" t="s">
        <v>25</v>
      </c>
      <c r="F1" s="90" t="s">
        <v>41</v>
      </c>
      <c r="G1" s="75"/>
      <c r="H1" s="79"/>
      <c r="I1" s="79"/>
      <c r="J1" s="7"/>
    </row>
    <row r="2" spans="1:10" ht="12.75" customHeight="1" x14ac:dyDescent="0.2">
      <c r="E2" s="76" t="s">
        <v>42</v>
      </c>
      <c r="F2" s="15"/>
      <c r="G2" s="15"/>
      <c r="H2" s="79"/>
      <c r="I2" s="79"/>
      <c r="J2" s="7"/>
    </row>
    <row r="4" spans="1:10" x14ac:dyDescent="0.2">
      <c r="J4" s="20" t="s">
        <v>26</v>
      </c>
    </row>
    <row r="5" spans="1:10" x14ac:dyDescent="0.2">
      <c r="J5" s="20"/>
    </row>
    <row r="6" spans="1:10" x14ac:dyDescent="0.2">
      <c r="J6" s="20"/>
    </row>
    <row r="7" spans="1:10" x14ac:dyDescent="0.2">
      <c r="J7" s="20"/>
    </row>
    <row r="8" spans="1:10" ht="19" x14ac:dyDescent="0.25">
      <c r="J8" s="44" t="s">
        <v>20</v>
      </c>
    </row>
    <row r="9" spans="1:10" ht="18" customHeight="1" x14ac:dyDescent="0.2">
      <c r="A9" s="135" t="s">
        <v>27</v>
      </c>
      <c r="B9" s="136"/>
      <c r="C9" s="136"/>
      <c r="D9" s="136"/>
      <c r="E9" s="136"/>
      <c r="F9" s="136"/>
      <c r="G9" s="150" t="s">
        <v>36</v>
      </c>
      <c r="H9" s="142" t="s">
        <v>9</v>
      </c>
      <c r="I9" s="140" t="s">
        <v>8</v>
      </c>
      <c r="J9" s="137" t="s">
        <v>7</v>
      </c>
    </row>
    <row r="10" spans="1:10" ht="15" customHeight="1" x14ac:dyDescent="0.2">
      <c r="A10" s="144" t="s">
        <v>28</v>
      </c>
      <c r="B10" s="145"/>
      <c r="C10" s="144" t="s">
        <v>30</v>
      </c>
      <c r="D10" s="148"/>
      <c r="E10" s="144" t="s">
        <v>32</v>
      </c>
      <c r="F10" s="153"/>
      <c r="G10" s="151"/>
      <c r="H10" s="143"/>
      <c r="I10" s="141"/>
      <c r="J10" s="138"/>
    </row>
    <row r="11" spans="1:10" ht="15" customHeight="1" x14ac:dyDescent="0.2">
      <c r="A11" s="146" t="s">
        <v>29</v>
      </c>
      <c r="B11" s="147"/>
      <c r="C11" s="146" t="s">
        <v>31</v>
      </c>
      <c r="D11" s="149"/>
      <c r="E11" s="78"/>
      <c r="F11" s="78"/>
      <c r="G11" s="151"/>
      <c r="H11" s="143"/>
      <c r="I11" s="141"/>
      <c r="J11" s="138"/>
    </row>
    <row r="12" spans="1:10" ht="21.75" customHeight="1" x14ac:dyDescent="0.2">
      <c r="A12" s="80" t="s">
        <v>33</v>
      </c>
      <c r="B12" s="81" t="s">
        <v>34</v>
      </c>
      <c r="C12" s="80" t="s">
        <v>18</v>
      </c>
      <c r="D12" s="80" t="s">
        <v>35</v>
      </c>
      <c r="E12" s="80" t="s">
        <v>33</v>
      </c>
      <c r="F12" s="82" t="s">
        <v>34</v>
      </c>
      <c r="G12" s="152"/>
      <c r="H12" s="143"/>
      <c r="I12" s="141"/>
      <c r="J12" s="138"/>
    </row>
    <row r="13" spans="1:10" ht="16" thickBot="1" x14ac:dyDescent="0.25">
      <c r="A13" s="16">
        <v>8</v>
      </c>
      <c r="B13" s="16">
        <v>9</v>
      </c>
      <c r="C13" s="16">
        <v>10</v>
      </c>
      <c r="D13" s="16">
        <v>11</v>
      </c>
      <c r="E13" s="17">
        <v>12</v>
      </c>
      <c r="F13" s="16">
        <v>13</v>
      </c>
      <c r="G13" s="29">
        <v>14</v>
      </c>
      <c r="H13" s="143"/>
      <c r="I13" s="141"/>
      <c r="J13" s="139"/>
    </row>
    <row r="14" spans="1:10" ht="16" thickBot="1" x14ac:dyDescent="0.25">
      <c r="A14" s="33"/>
      <c r="B14" s="33"/>
      <c r="C14" s="33"/>
      <c r="D14" s="33"/>
      <c r="E14" s="34"/>
      <c r="F14" s="33"/>
      <c r="G14" s="93">
        <f>'ENTREES &amp; SORTIES'!D18+'ENTREES &amp; SORTIES'!E18+'ENTREES &amp; SORTIES'!F18-'ENTREES &amp; SORTIES'!G18-'ENTREES &amp; SORTIES'!H18-'ENTREES &amp; SORTIES'!I18-'ENTREES &amp; SORTIES'!J18-'VENTES &amp; STOCK'!A14-'VENTES &amp; STOCK'!B14-'VENTES &amp; STOCK'!C14-'VENTES &amp; STOCK'!D14-'VENTES &amp; STOCK'!E14-'VENTES &amp; STOCK'!F14</f>
        <v>0</v>
      </c>
      <c r="H14" s="97"/>
      <c r="I14" s="98"/>
      <c r="J14" s="101"/>
    </row>
    <row r="15" spans="1:10" ht="16" thickBot="1" x14ac:dyDescent="0.25">
      <c r="A15" s="33"/>
      <c r="B15" s="33"/>
      <c r="C15" s="33"/>
      <c r="D15" s="33"/>
      <c r="E15" s="34"/>
      <c r="F15" s="33"/>
      <c r="G15" s="93">
        <f>'ENTREES &amp; SORTIES'!D19+'ENTREES &amp; SORTIES'!E19+'ENTREES &amp; SORTIES'!F19-'ENTREES &amp; SORTIES'!G19-'ENTREES &amp; SORTIES'!H19-'ENTREES &amp; SORTIES'!I19-'ENTREES &amp; SORTIES'!J19-'VENTES &amp; STOCK'!A15-'VENTES &amp; STOCK'!B15-'VENTES &amp; STOCK'!C15-'VENTES &amp; STOCK'!D15-'VENTES &amp; STOCK'!E15-'VENTES &amp; STOCK'!F15</f>
        <v>0</v>
      </c>
      <c r="H15" s="94"/>
      <c r="I15" s="96"/>
      <c r="J15" s="102"/>
    </row>
    <row r="16" spans="1:10" ht="16" thickBot="1" x14ac:dyDescent="0.25">
      <c r="A16" s="33"/>
      <c r="B16" s="33"/>
      <c r="C16" s="33"/>
      <c r="D16" s="33"/>
      <c r="E16" s="34"/>
      <c r="F16" s="33"/>
      <c r="G16" s="93">
        <f>'ENTREES &amp; SORTIES'!D20+'ENTREES &amp; SORTIES'!E20+'ENTREES &amp; SORTIES'!F20-'ENTREES &amp; SORTIES'!G20-'ENTREES &amp; SORTIES'!H20-'ENTREES &amp; SORTIES'!I20-'ENTREES &amp; SORTIES'!J20-'VENTES &amp; STOCK'!A16-'VENTES &amp; STOCK'!B16-'VENTES &amp; STOCK'!C16-'VENTES &amp; STOCK'!D16-'VENTES &amp; STOCK'!E16-'VENTES &amp; STOCK'!F16</f>
        <v>0</v>
      </c>
      <c r="H16" s="95"/>
      <c r="I16" s="96"/>
      <c r="J16" s="102"/>
    </row>
    <row r="17" spans="1:10" ht="16" thickBot="1" x14ac:dyDescent="0.25">
      <c r="A17" s="33"/>
      <c r="B17" s="33"/>
      <c r="C17" s="33"/>
      <c r="D17" s="33"/>
      <c r="E17" s="34"/>
      <c r="F17" s="33"/>
      <c r="G17" s="93">
        <f>'ENTREES &amp; SORTIES'!D21+'ENTREES &amp; SORTIES'!E21+'ENTREES &amp; SORTIES'!F21-'ENTREES &amp; SORTIES'!G21-'ENTREES &amp; SORTIES'!H21-'ENTREES &amp; SORTIES'!I21-'ENTREES &amp; SORTIES'!J21-'VENTES &amp; STOCK'!A17-'VENTES &amp; STOCK'!B17-'VENTES &amp; STOCK'!C17-'VENTES &amp; STOCK'!D17-'VENTES &amp; STOCK'!E17-'VENTES &amp; STOCK'!F17</f>
        <v>0</v>
      </c>
      <c r="H17" s="94"/>
      <c r="I17" s="96"/>
      <c r="J17" s="102"/>
    </row>
    <row r="18" spans="1:10" ht="16" thickBot="1" x14ac:dyDescent="0.25">
      <c r="A18" s="33"/>
      <c r="B18" s="33"/>
      <c r="C18" s="33"/>
      <c r="D18" s="33"/>
      <c r="E18" s="34"/>
      <c r="F18" s="33"/>
      <c r="G18" s="93">
        <f>'ENTREES &amp; SORTIES'!D22+'ENTREES &amp; SORTIES'!E22+'ENTREES &amp; SORTIES'!F22-'ENTREES &amp; SORTIES'!G22-'ENTREES &amp; SORTIES'!H22-'ENTREES &amp; SORTIES'!I22-'ENTREES &amp; SORTIES'!J22-'VENTES &amp; STOCK'!A18-'VENTES &amp; STOCK'!B18-'VENTES &amp; STOCK'!C18-'VENTES &amp; STOCK'!D18-'VENTES &amp; STOCK'!E18-'VENTES &amp; STOCK'!F18</f>
        <v>0</v>
      </c>
      <c r="H18" s="94"/>
      <c r="I18" s="96"/>
      <c r="J18" s="102"/>
    </row>
    <row r="19" spans="1:10" ht="16" thickBot="1" x14ac:dyDescent="0.25">
      <c r="A19" s="33"/>
      <c r="B19" s="33"/>
      <c r="C19" s="33"/>
      <c r="D19" s="33"/>
      <c r="E19" s="34"/>
      <c r="F19" s="33"/>
      <c r="G19" s="93">
        <f>'ENTREES &amp; SORTIES'!D23+'ENTREES &amp; SORTIES'!E23+'ENTREES &amp; SORTIES'!F23-'ENTREES &amp; SORTIES'!G23-'ENTREES &amp; SORTIES'!H23-'ENTREES &amp; SORTIES'!I23-'ENTREES &amp; SORTIES'!J23-'VENTES &amp; STOCK'!A19-'VENTES &amp; STOCK'!B19-'VENTES &amp; STOCK'!C19-'VENTES &amp; STOCK'!D19-'VENTES &amp; STOCK'!E19-'VENTES &amp; STOCK'!F19</f>
        <v>0</v>
      </c>
      <c r="H19" s="95"/>
      <c r="I19" s="96"/>
      <c r="J19" s="102"/>
    </row>
    <row r="20" spans="1:10" ht="16" thickBot="1" x14ac:dyDescent="0.25">
      <c r="A20" s="33"/>
      <c r="B20" s="33"/>
      <c r="C20" s="33"/>
      <c r="D20" s="33"/>
      <c r="E20" s="34"/>
      <c r="F20" s="33"/>
      <c r="G20" s="93">
        <f>'ENTREES &amp; SORTIES'!D24+'ENTREES &amp; SORTIES'!E24+'ENTREES &amp; SORTIES'!F24-'ENTREES &amp; SORTIES'!G24-'ENTREES &amp; SORTIES'!H24-'ENTREES &amp; SORTIES'!I24-'ENTREES &amp; SORTIES'!J24-'VENTES &amp; STOCK'!A20-'VENTES &amp; STOCK'!B20-'VENTES &amp; STOCK'!C20-'VENTES &amp; STOCK'!D20-'VENTES &amp; STOCK'!E20-'VENTES &amp; STOCK'!F20</f>
        <v>0</v>
      </c>
      <c r="H20" s="94"/>
      <c r="I20" s="96"/>
      <c r="J20" s="102"/>
    </row>
    <row r="21" spans="1:10" ht="16" thickBot="1" x14ac:dyDescent="0.25">
      <c r="A21" s="33"/>
      <c r="B21" s="33"/>
      <c r="C21" s="33"/>
      <c r="D21" s="33"/>
      <c r="E21" s="34"/>
      <c r="F21" s="33"/>
      <c r="G21" s="93">
        <f>'ENTREES &amp; SORTIES'!D25+'ENTREES &amp; SORTIES'!E25+'ENTREES &amp; SORTIES'!F25-'ENTREES &amp; SORTIES'!G25-'ENTREES &amp; SORTIES'!H25-'ENTREES &amp; SORTIES'!I25-'ENTREES &amp; SORTIES'!J25-'VENTES &amp; STOCK'!A21-'VENTES &amp; STOCK'!B21-'VENTES &amp; STOCK'!C21-'VENTES &amp; STOCK'!D21-'VENTES &amp; STOCK'!E21-'VENTES &amp; STOCK'!F21</f>
        <v>0</v>
      </c>
      <c r="H21" s="95"/>
      <c r="I21" s="96"/>
      <c r="J21" s="102"/>
    </row>
    <row r="22" spans="1:10" ht="16" thickBot="1" x14ac:dyDescent="0.25">
      <c r="A22" s="33"/>
      <c r="B22" s="33"/>
      <c r="C22" s="33"/>
      <c r="D22" s="33"/>
      <c r="E22" s="34"/>
      <c r="F22" s="33"/>
      <c r="G22" s="93">
        <f>'ENTREES &amp; SORTIES'!D26+'ENTREES &amp; SORTIES'!E26+'ENTREES &amp; SORTIES'!F26-'ENTREES &amp; SORTIES'!G26-'ENTREES &amp; SORTIES'!H26-'ENTREES &amp; SORTIES'!I26-'ENTREES &amp; SORTIES'!J26-'VENTES &amp; STOCK'!A22-'VENTES &amp; STOCK'!B22-'VENTES &amp; STOCK'!C22-'VENTES &amp; STOCK'!D22-'VENTES &amp; STOCK'!E22-'VENTES &amp; STOCK'!F22</f>
        <v>0</v>
      </c>
      <c r="H22" s="95"/>
      <c r="I22" s="96"/>
      <c r="J22" s="102"/>
    </row>
    <row r="23" spans="1:10" ht="16" thickBot="1" x14ac:dyDescent="0.25">
      <c r="A23" s="33"/>
      <c r="B23" s="33"/>
      <c r="C23" s="33"/>
      <c r="D23" s="33"/>
      <c r="E23" s="34"/>
      <c r="F23" s="33"/>
      <c r="G23" s="93">
        <f>'ENTREES &amp; SORTIES'!D27+'ENTREES &amp; SORTIES'!E27+'ENTREES &amp; SORTIES'!F27-'ENTREES &amp; SORTIES'!G27-'ENTREES &amp; SORTIES'!H27-'ENTREES &amp; SORTIES'!I27-'ENTREES &amp; SORTIES'!J27-'VENTES &amp; STOCK'!A23-'VENTES &amp; STOCK'!B23-'VENTES &amp; STOCK'!C23-'VENTES &amp; STOCK'!D23-'VENTES &amp; STOCK'!E23-'VENTES &amp; STOCK'!F23</f>
        <v>0</v>
      </c>
      <c r="H23" s="95"/>
      <c r="I23" s="96"/>
      <c r="J23" s="102"/>
    </row>
    <row r="24" spans="1:10" ht="16" thickBot="1" x14ac:dyDescent="0.25">
      <c r="A24" s="33"/>
      <c r="B24" s="33"/>
      <c r="C24" s="33"/>
      <c r="D24" s="33"/>
      <c r="E24" s="34"/>
      <c r="F24" s="33"/>
      <c r="G24" s="93">
        <f>'ENTREES &amp; SORTIES'!D28+'ENTREES &amp; SORTIES'!E28+'ENTREES &amp; SORTIES'!F28-'ENTREES &amp; SORTIES'!G28-'ENTREES &amp; SORTIES'!H28-'ENTREES &amp; SORTIES'!I28-'ENTREES &amp; SORTIES'!J28-'VENTES &amp; STOCK'!A24-'VENTES &amp; STOCK'!B24-'VENTES &amp; STOCK'!C24-'VENTES &amp; STOCK'!D24-'VENTES &amp; STOCK'!E24-'VENTES &amp; STOCK'!F24</f>
        <v>0</v>
      </c>
      <c r="H24" s="95"/>
      <c r="I24" s="96"/>
      <c r="J24" s="102"/>
    </row>
    <row r="25" spans="1:10" ht="16" thickBot="1" x14ac:dyDescent="0.25">
      <c r="A25" s="33"/>
      <c r="B25" s="33"/>
      <c r="C25" s="33"/>
      <c r="D25" s="33"/>
      <c r="E25" s="34"/>
      <c r="F25" s="33"/>
      <c r="G25" s="93">
        <f>'ENTREES &amp; SORTIES'!D29+'ENTREES &amp; SORTIES'!E29+'ENTREES &amp; SORTIES'!F29-'ENTREES &amp; SORTIES'!G29-'ENTREES &amp; SORTIES'!H29-'ENTREES &amp; SORTIES'!I29-'ENTREES &amp; SORTIES'!J29-'VENTES &amp; STOCK'!A25-'VENTES &amp; STOCK'!B25-'VENTES &amp; STOCK'!C25-'VENTES &amp; STOCK'!D25-'VENTES &amp; STOCK'!E25-'VENTES &amp; STOCK'!F25</f>
        <v>0</v>
      </c>
      <c r="H25" s="95"/>
      <c r="I25" s="96"/>
      <c r="J25" s="102"/>
    </row>
    <row r="26" spans="1:10" ht="16" thickBot="1" x14ac:dyDescent="0.25">
      <c r="A26" s="33"/>
      <c r="B26" s="33"/>
      <c r="C26" s="33"/>
      <c r="D26" s="33"/>
      <c r="E26" s="34"/>
      <c r="F26" s="33"/>
      <c r="G26" s="93">
        <f>'ENTREES &amp; SORTIES'!D30+'ENTREES &amp; SORTIES'!E30+'ENTREES &amp; SORTIES'!F30-'ENTREES &amp; SORTIES'!G30-'ENTREES &amp; SORTIES'!H30-'ENTREES &amp; SORTIES'!I30-'ENTREES &amp; SORTIES'!J30-'VENTES &amp; STOCK'!A26-'VENTES &amp; STOCK'!B26-'VENTES &amp; STOCK'!C26-'VENTES &amp; STOCK'!D26-'VENTES &amp; STOCK'!E26-'VENTES &amp; STOCK'!F26</f>
        <v>0</v>
      </c>
      <c r="H26" s="95"/>
      <c r="I26" s="96"/>
      <c r="J26" s="102"/>
    </row>
    <row r="27" spans="1:10" ht="16" thickBot="1" x14ac:dyDescent="0.25">
      <c r="A27" s="33"/>
      <c r="B27" s="33"/>
      <c r="C27" s="33"/>
      <c r="D27" s="33"/>
      <c r="E27" s="34"/>
      <c r="F27" s="33"/>
      <c r="G27" s="93">
        <f>'ENTREES &amp; SORTIES'!D31+'ENTREES &amp; SORTIES'!E31+'ENTREES &amp; SORTIES'!F31-'ENTREES &amp; SORTIES'!G31-'ENTREES &amp; SORTIES'!H31-'ENTREES &amp; SORTIES'!I31-'ENTREES &amp; SORTIES'!J31-'VENTES &amp; STOCK'!A27-'VENTES &amp; STOCK'!B27-'VENTES &amp; STOCK'!C27-'VENTES &amp; STOCK'!D27-'VENTES &amp; STOCK'!E27-'VENTES &amp; STOCK'!F27</f>
        <v>0</v>
      </c>
      <c r="H27" s="95"/>
      <c r="I27" s="96"/>
      <c r="J27" s="102"/>
    </row>
    <row r="28" spans="1:10" ht="16" thickBot="1" x14ac:dyDescent="0.25">
      <c r="A28" s="33"/>
      <c r="B28" s="33"/>
      <c r="C28" s="33"/>
      <c r="D28" s="33"/>
      <c r="E28" s="34"/>
      <c r="F28" s="33"/>
      <c r="G28" s="93">
        <f>'ENTREES &amp; SORTIES'!D32+'ENTREES &amp; SORTIES'!E32+'ENTREES &amp; SORTIES'!F32-'ENTREES &amp; SORTIES'!G32-'ENTREES &amp; SORTIES'!H32-'ENTREES &amp; SORTIES'!I32-'ENTREES &amp; SORTIES'!J32-'VENTES &amp; STOCK'!A28-'VENTES &amp; STOCK'!B28-'VENTES &amp; STOCK'!C28-'VENTES &amp; STOCK'!D28-'VENTES &amp; STOCK'!E28-'VENTES &amp; STOCK'!F28</f>
        <v>0</v>
      </c>
      <c r="H28" s="95"/>
      <c r="I28" s="96"/>
      <c r="J28" s="102"/>
    </row>
    <row r="29" spans="1:10" ht="16" thickBot="1" x14ac:dyDescent="0.25">
      <c r="A29" s="33"/>
      <c r="B29" s="33"/>
      <c r="C29" s="33"/>
      <c r="D29" s="33"/>
      <c r="E29" s="34"/>
      <c r="F29" s="33"/>
      <c r="G29" s="93">
        <f>'ENTREES &amp; SORTIES'!D33+'ENTREES &amp; SORTIES'!E33+'ENTREES &amp; SORTIES'!F33-'ENTREES &amp; SORTIES'!G33-'ENTREES &amp; SORTIES'!H33-'ENTREES &amp; SORTIES'!I33-'ENTREES &amp; SORTIES'!J33-'VENTES &amp; STOCK'!A29-'VENTES &amp; STOCK'!B29-'VENTES &amp; STOCK'!C29-'VENTES &amp; STOCK'!D29-'VENTES &amp; STOCK'!E29-'VENTES &amp; STOCK'!F29</f>
        <v>0</v>
      </c>
      <c r="H29" s="95"/>
      <c r="I29" s="96"/>
      <c r="J29" s="102"/>
    </row>
    <row r="30" spans="1:10" ht="16" thickBot="1" x14ac:dyDescent="0.25">
      <c r="A30" s="33"/>
      <c r="B30" s="33"/>
      <c r="C30" s="33"/>
      <c r="D30" s="92"/>
      <c r="E30" s="91"/>
      <c r="F30" s="33"/>
      <c r="G30" s="93">
        <f>'ENTREES &amp; SORTIES'!D34+'ENTREES &amp; SORTIES'!E34+'ENTREES &amp; SORTIES'!F34-'ENTREES &amp; SORTIES'!G34-'ENTREES &amp; SORTIES'!H34-'ENTREES &amp; SORTIES'!I34-'ENTREES &amp; SORTIES'!J34-'VENTES &amp; STOCK'!A30-'VENTES &amp; STOCK'!B30-'VENTES &amp; STOCK'!C30-'VENTES &amp; STOCK'!D30-'VENTES &amp; STOCK'!E30-'VENTES &amp; STOCK'!F30</f>
        <v>0</v>
      </c>
      <c r="H30" s="95"/>
      <c r="I30" s="96"/>
      <c r="J30" s="102"/>
    </row>
    <row r="31" spans="1:10" ht="16" thickBot="1" x14ac:dyDescent="0.25">
      <c r="A31" s="33"/>
      <c r="B31" s="33"/>
      <c r="C31" s="33"/>
      <c r="D31" s="33"/>
      <c r="E31" s="34"/>
      <c r="F31" s="33"/>
      <c r="G31" s="93">
        <f>'ENTREES &amp; SORTIES'!D35+'ENTREES &amp; SORTIES'!E35+'ENTREES &amp; SORTIES'!F35-'ENTREES &amp; SORTIES'!G35-'ENTREES &amp; SORTIES'!H35-'ENTREES &amp; SORTIES'!I35-'ENTREES &amp; SORTIES'!J35-'VENTES &amp; STOCK'!A31-'VENTES &amp; STOCK'!B31-'VENTES &amp; STOCK'!C31-'VENTES &amp; STOCK'!D31-'VENTES &amp; STOCK'!E31-'VENTES &amp; STOCK'!F31</f>
        <v>0</v>
      </c>
      <c r="H31" s="95"/>
      <c r="I31" s="96"/>
      <c r="J31" s="102"/>
    </row>
    <row r="32" spans="1:10" ht="16" thickBot="1" x14ac:dyDescent="0.25">
      <c r="A32" s="33"/>
      <c r="B32" s="33"/>
      <c r="C32" s="33"/>
      <c r="D32" s="33"/>
      <c r="E32" s="34"/>
      <c r="F32" s="33"/>
      <c r="G32" s="93">
        <f>'ENTREES &amp; SORTIES'!D36+'ENTREES &amp; SORTIES'!E36+'ENTREES &amp; SORTIES'!F36-'ENTREES &amp; SORTIES'!G36-'ENTREES &amp; SORTIES'!H36-'ENTREES &amp; SORTIES'!I36-'ENTREES &amp; SORTIES'!J36-'VENTES &amp; STOCK'!A32-'VENTES &amp; STOCK'!B32-'VENTES &amp; STOCK'!C32-'VENTES &amp; STOCK'!D32-'VENTES &amp; STOCK'!E32-'VENTES &amp; STOCK'!F32</f>
        <v>0</v>
      </c>
      <c r="H32" s="95"/>
      <c r="I32" s="96"/>
      <c r="J32" s="102"/>
    </row>
    <row r="33" spans="1:10" ht="16" thickBot="1" x14ac:dyDescent="0.25">
      <c r="A33" s="33"/>
      <c r="B33" s="33"/>
      <c r="C33" s="33"/>
      <c r="D33" s="33"/>
      <c r="E33" s="34"/>
      <c r="F33" s="33"/>
      <c r="G33" s="93">
        <f>'ENTREES &amp; SORTIES'!D37+'ENTREES &amp; SORTIES'!E37+'ENTREES &amp; SORTIES'!F37-'ENTREES &amp; SORTIES'!G37-'ENTREES &amp; SORTIES'!H37-'ENTREES &amp; SORTIES'!I37-'ENTREES &amp; SORTIES'!J37-'VENTES &amp; STOCK'!A33-'VENTES &amp; STOCK'!B33-'VENTES &amp; STOCK'!C33-'VENTES &amp; STOCK'!D33-'VENTES &amp; STOCK'!E33-'VENTES &amp; STOCK'!F33</f>
        <v>0</v>
      </c>
      <c r="H33" s="95"/>
      <c r="I33" s="96"/>
      <c r="J33" s="102"/>
    </row>
    <row r="34" spans="1:10" ht="16" thickBot="1" x14ac:dyDescent="0.25">
      <c r="A34" s="33"/>
      <c r="B34" s="33"/>
      <c r="C34" s="33"/>
      <c r="D34" s="33"/>
      <c r="E34" s="34"/>
      <c r="F34" s="33"/>
      <c r="G34" s="93">
        <f>'ENTREES &amp; SORTIES'!D38+'ENTREES &amp; SORTIES'!E38+'ENTREES &amp; SORTIES'!F38-'ENTREES &amp; SORTIES'!G38-'ENTREES &amp; SORTIES'!H38-'ENTREES &amp; SORTIES'!I38-'ENTREES &amp; SORTIES'!J38-'VENTES &amp; STOCK'!A34-'VENTES &amp; STOCK'!B34-'VENTES &amp; STOCK'!C34-'VENTES &amp; STOCK'!D34-'VENTES &amp; STOCK'!E34-'VENTES &amp; STOCK'!F34</f>
        <v>0</v>
      </c>
      <c r="H34" s="95"/>
      <c r="I34" s="96"/>
      <c r="J34" s="102"/>
    </row>
    <row r="35" spans="1:10" ht="16" thickBot="1" x14ac:dyDescent="0.25">
      <c r="A35" s="33"/>
      <c r="B35" s="33"/>
      <c r="C35" s="33"/>
      <c r="D35" s="33"/>
      <c r="E35" s="34"/>
      <c r="F35" s="33"/>
      <c r="G35" s="93">
        <f>'ENTREES &amp; SORTIES'!D39+'ENTREES &amp; SORTIES'!E39+'ENTREES &amp; SORTIES'!F39-'ENTREES &amp; SORTIES'!G39-'ENTREES &amp; SORTIES'!H39-'ENTREES &amp; SORTIES'!I39-'ENTREES &amp; SORTIES'!J39-'VENTES &amp; STOCK'!A35-'VENTES &amp; STOCK'!B35-'VENTES &amp; STOCK'!C35-'VENTES &amp; STOCK'!D35-'VENTES &amp; STOCK'!E35-'VENTES &amp; STOCK'!F35</f>
        <v>0</v>
      </c>
      <c r="H35" s="95"/>
      <c r="I35" s="96"/>
      <c r="J35" s="102"/>
    </row>
    <row r="36" spans="1:10" ht="16" thickBot="1" x14ac:dyDescent="0.25">
      <c r="A36" s="33"/>
      <c r="B36" s="33"/>
      <c r="C36" s="33"/>
      <c r="D36" s="33"/>
      <c r="E36" s="34"/>
      <c r="F36" s="33"/>
      <c r="G36" s="93">
        <f>'ENTREES &amp; SORTIES'!D40+'ENTREES &amp; SORTIES'!E40+'ENTREES &amp; SORTIES'!F40-'ENTREES &amp; SORTIES'!G40-'ENTREES &amp; SORTIES'!H40-'ENTREES &amp; SORTIES'!I40-'ENTREES &amp; SORTIES'!J40-'VENTES &amp; STOCK'!A36-'VENTES &amp; STOCK'!B36-'VENTES &amp; STOCK'!C36-'VENTES &amp; STOCK'!D36-'VENTES &amp; STOCK'!E36-'VENTES &amp; STOCK'!F36</f>
        <v>0</v>
      </c>
      <c r="H36" s="95"/>
      <c r="I36" s="96"/>
      <c r="J36" s="102"/>
    </row>
    <row r="37" spans="1:10" ht="16" thickBot="1" x14ac:dyDescent="0.25">
      <c r="A37" s="33"/>
      <c r="B37" s="33"/>
      <c r="C37" s="33"/>
      <c r="D37" s="33"/>
      <c r="E37" s="34"/>
      <c r="F37" s="33"/>
      <c r="G37" s="93">
        <f>'ENTREES &amp; SORTIES'!D41+'ENTREES &amp; SORTIES'!E41+'ENTREES &amp; SORTIES'!F41-'ENTREES &amp; SORTIES'!G41-'ENTREES &amp; SORTIES'!H41-'ENTREES &amp; SORTIES'!I41-'ENTREES &amp; SORTIES'!J41-'VENTES &amp; STOCK'!A37-'VENTES &amp; STOCK'!B37-'VENTES &amp; STOCK'!C37-'VENTES &amp; STOCK'!D37-'VENTES &amp; STOCK'!E37-'VENTES &amp; STOCK'!F37</f>
        <v>0</v>
      </c>
      <c r="H37" s="95"/>
      <c r="I37" s="96"/>
      <c r="J37" s="102"/>
    </row>
    <row r="38" spans="1:10" ht="16" thickBot="1" x14ac:dyDescent="0.25">
      <c r="A38" s="33"/>
      <c r="B38" s="33"/>
      <c r="C38" s="33"/>
      <c r="D38" s="33"/>
      <c r="E38" s="34"/>
      <c r="F38" s="33"/>
      <c r="G38" s="93">
        <f>'ENTREES &amp; SORTIES'!D42+'ENTREES &amp; SORTIES'!E42+'ENTREES &amp; SORTIES'!F42-'ENTREES &amp; SORTIES'!G42-'ENTREES &amp; SORTIES'!H42-'ENTREES &amp; SORTIES'!I42-'ENTREES &amp; SORTIES'!J42-'VENTES &amp; STOCK'!A38-'VENTES &amp; STOCK'!B38-'VENTES &amp; STOCK'!C38-'VENTES &amp; STOCK'!D38-'VENTES &amp; STOCK'!E38-'VENTES &amp; STOCK'!F38</f>
        <v>0</v>
      </c>
      <c r="H38" s="95"/>
      <c r="I38" s="96"/>
      <c r="J38" s="102"/>
    </row>
    <row r="39" spans="1:10" ht="16" thickBot="1" x14ac:dyDescent="0.25">
      <c r="A39" s="33"/>
      <c r="B39" s="33"/>
      <c r="C39" s="33"/>
      <c r="D39" s="33"/>
      <c r="E39" s="34"/>
      <c r="F39" s="33"/>
      <c r="G39" s="93">
        <f>'ENTREES &amp; SORTIES'!D43+'ENTREES &amp; SORTIES'!E43+'ENTREES &amp; SORTIES'!F43-'ENTREES &amp; SORTIES'!G43-'ENTREES &amp; SORTIES'!H43-'ENTREES &amp; SORTIES'!I43-'ENTREES &amp; SORTIES'!J43-'VENTES &amp; STOCK'!A39-'VENTES &amp; STOCK'!B39-'VENTES &amp; STOCK'!C39-'VENTES &amp; STOCK'!D39-'VENTES &amp; STOCK'!E39-'VENTES &amp; STOCK'!F39</f>
        <v>0</v>
      </c>
      <c r="H39" s="95"/>
      <c r="I39" s="96"/>
      <c r="J39" s="102"/>
    </row>
    <row r="40" spans="1:10" ht="16" thickBot="1" x14ac:dyDescent="0.25">
      <c r="A40" s="33"/>
      <c r="B40" s="33"/>
      <c r="C40" s="33"/>
      <c r="D40" s="33"/>
      <c r="E40" s="34"/>
      <c r="F40" s="33"/>
      <c r="G40" s="93">
        <f>'ENTREES &amp; SORTIES'!D44+'ENTREES &amp; SORTIES'!E44+'ENTREES &amp; SORTIES'!F44-'ENTREES &amp; SORTIES'!G44-'ENTREES &amp; SORTIES'!H44-'ENTREES &amp; SORTIES'!I44-'ENTREES &amp; SORTIES'!J44-'VENTES &amp; STOCK'!A40-'VENTES &amp; STOCK'!B40-'VENTES &amp; STOCK'!C40-'VENTES &amp; STOCK'!D40-'VENTES &amp; STOCK'!E40-'VENTES &amp; STOCK'!F40</f>
        <v>0</v>
      </c>
      <c r="H40" s="95"/>
      <c r="I40" s="96"/>
      <c r="J40" s="102"/>
    </row>
    <row r="41" spans="1:10" ht="16" thickBot="1" x14ac:dyDescent="0.25">
      <c r="A41" s="33"/>
      <c r="B41" s="33"/>
      <c r="C41" s="33"/>
      <c r="D41" s="33"/>
      <c r="E41" s="34"/>
      <c r="F41" s="33"/>
      <c r="G41" s="93">
        <f>'ENTREES &amp; SORTIES'!D45+'ENTREES &amp; SORTIES'!E45+'ENTREES &amp; SORTIES'!F45-'ENTREES &amp; SORTIES'!G45-'ENTREES &amp; SORTIES'!H45-'ENTREES &amp; SORTIES'!I45-'ENTREES &amp; SORTIES'!J45-'VENTES &amp; STOCK'!A41-'VENTES &amp; STOCK'!B41-'VENTES &amp; STOCK'!C41-'VENTES &amp; STOCK'!D41-'VENTES &amp; STOCK'!E41-'VENTES &amp; STOCK'!F41</f>
        <v>0</v>
      </c>
      <c r="H41" s="95"/>
      <c r="I41" s="96"/>
      <c r="J41" s="102"/>
    </row>
    <row r="42" spans="1:10" ht="16" thickBot="1" x14ac:dyDescent="0.25">
      <c r="A42" s="33"/>
      <c r="B42" s="33"/>
      <c r="C42" s="33"/>
      <c r="D42" s="33"/>
      <c r="E42" s="34"/>
      <c r="F42" s="33"/>
      <c r="G42" s="93">
        <f>'ENTREES &amp; SORTIES'!D46+'ENTREES &amp; SORTIES'!E46+'ENTREES &amp; SORTIES'!F46-'ENTREES &amp; SORTIES'!G46-'ENTREES &amp; SORTIES'!H46-'ENTREES &amp; SORTIES'!I46-'ENTREES &amp; SORTIES'!J46-'VENTES &amp; STOCK'!A42-'VENTES &amp; STOCK'!B42-'VENTES &amp; STOCK'!C42-'VENTES &amp; STOCK'!D42-'VENTES &amp; STOCK'!E42-'VENTES &amp; STOCK'!F42</f>
        <v>0</v>
      </c>
      <c r="H42" s="95"/>
      <c r="I42" s="96"/>
      <c r="J42" s="102"/>
    </row>
    <row r="43" spans="1:10" ht="16" thickBot="1" x14ac:dyDescent="0.25">
      <c r="A43" s="33"/>
      <c r="B43" s="33"/>
      <c r="C43" s="33"/>
      <c r="D43" s="33"/>
      <c r="E43" s="34"/>
      <c r="F43" s="33"/>
      <c r="G43" s="93">
        <f>'ENTREES &amp; SORTIES'!D47+'ENTREES &amp; SORTIES'!E47+'ENTREES &amp; SORTIES'!F47-'ENTREES &amp; SORTIES'!G47-'ENTREES &amp; SORTIES'!H47-'ENTREES &amp; SORTIES'!I47-'ENTREES &amp; SORTIES'!J47-'VENTES &amp; STOCK'!A43-'VENTES &amp; STOCK'!B43-'VENTES &amp; STOCK'!C43-'VENTES &amp; STOCK'!D43-'VENTES &amp; STOCK'!E43-'VENTES &amp; STOCK'!F43</f>
        <v>0</v>
      </c>
      <c r="H43" s="95"/>
      <c r="I43" s="96"/>
      <c r="J43" s="102"/>
    </row>
    <row r="44" spans="1:10" ht="16" thickBot="1" x14ac:dyDescent="0.25">
      <c r="A44" s="33"/>
      <c r="B44" s="33"/>
      <c r="C44" s="33"/>
      <c r="D44" s="33"/>
      <c r="E44" s="34"/>
      <c r="F44" s="33"/>
      <c r="G44" s="93">
        <f>'ENTREES &amp; SORTIES'!D48+'ENTREES &amp; SORTIES'!E48+'ENTREES &amp; SORTIES'!F48-'ENTREES &amp; SORTIES'!G48-'ENTREES &amp; SORTIES'!H48-'ENTREES &amp; SORTIES'!I48-'ENTREES &amp; SORTIES'!J48-'VENTES &amp; STOCK'!A44-'VENTES &amp; STOCK'!B44-'VENTES &amp; STOCK'!C44-'VENTES &amp; STOCK'!D44-'VENTES &amp; STOCK'!E44-'VENTES &amp; STOCK'!F44</f>
        <v>0</v>
      </c>
      <c r="H44" s="95"/>
      <c r="I44" s="96"/>
      <c r="J44" s="102"/>
    </row>
    <row r="45" spans="1:10" ht="16" thickBot="1" x14ac:dyDescent="0.25">
      <c r="A45" s="33"/>
      <c r="B45" s="33"/>
      <c r="C45" s="33"/>
      <c r="D45" s="33"/>
      <c r="E45" s="34"/>
      <c r="F45" s="33"/>
      <c r="G45" s="93">
        <f>'ENTREES &amp; SORTIES'!D49+'ENTREES &amp; SORTIES'!E49+'ENTREES &amp; SORTIES'!F49-'ENTREES &amp; SORTIES'!G49-'ENTREES &amp; SORTIES'!H49-'ENTREES &amp; SORTIES'!I49-'ENTREES &amp; SORTIES'!J49-'VENTES &amp; STOCK'!A45-'VENTES &amp; STOCK'!B45-'VENTES &amp; STOCK'!C45-'VENTES &amp; STOCK'!D45-'VENTES &amp; STOCK'!E45-'VENTES &amp; STOCK'!F45</f>
        <v>0</v>
      </c>
      <c r="H45" s="95"/>
      <c r="I45" s="96"/>
      <c r="J45" s="102"/>
    </row>
    <row r="46" spans="1:10" ht="16" thickBot="1" x14ac:dyDescent="0.25">
      <c r="A46" s="33"/>
      <c r="B46" s="33"/>
      <c r="C46" s="33"/>
      <c r="D46" s="33"/>
      <c r="E46" s="34"/>
      <c r="F46" s="33"/>
      <c r="G46" s="93">
        <f>'ENTREES &amp; SORTIES'!D50+'ENTREES &amp; SORTIES'!E50+'ENTREES &amp; SORTIES'!F50-'ENTREES &amp; SORTIES'!G50-'ENTREES &amp; SORTIES'!H50-'ENTREES &amp; SORTIES'!I50-'ENTREES &amp; SORTIES'!J50-'VENTES &amp; STOCK'!A46-'VENTES &amp; STOCK'!B46-'VENTES &amp; STOCK'!C46-'VENTES &amp; STOCK'!D46-'VENTES &amp; STOCK'!E46-'VENTES &amp; STOCK'!F46</f>
        <v>0</v>
      </c>
      <c r="H46" s="95"/>
      <c r="I46" s="96"/>
      <c r="J46" s="102"/>
    </row>
    <row r="47" spans="1:10" ht="16" thickBot="1" x14ac:dyDescent="0.25">
      <c r="A47" s="33"/>
      <c r="B47" s="33"/>
      <c r="C47" s="33"/>
      <c r="D47" s="33"/>
      <c r="E47" s="34"/>
      <c r="F47" s="33"/>
      <c r="G47" s="93">
        <f>'ENTREES &amp; SORTIES'!D51+'ENTREES &amp; SORTIES'!E51+'ENTREES &amp; SORTIES'!F51-'ENTREES &amp; SORTIES'!G51-'ENTREES &amp; SORTIES'!H51-'ENTREES &amp; SORTIES'!I51-'ENTREES &amp; SORTIES'!J51-'VENTES &amp; STOCK'!A47-'VENTES &amp; STOCK'!B47-'VENTES &amp; STOCK'!C47-'VENTES &amp; STOCK'!D47-'VENTES &amp; STOCK'!E47-'VENTES &amp; STOCK'!F47</f>
        <v>0</v>
      </c>
      <c r="H47" s="95"/>
      <c r="I47" s="96"/>
      <c r="J47" s="102"/>
    </row>
    <row r="48" spans="1:10" ht="16" thickBot="1" x14ac:dyDescent="0.25">
      <c r="A48" s="33"/>
      <c r="B48" s="33"/>
      <c r="C48" s="33"/>
      <c r="D48" s="33"/>
      <c r="E48" s="34"/>
      <c r="F48" s="33"/>
      <c r="G48" s="93">
        <f>'ENTREES &amp; SORTIES'!D52+'ENTREES &amp; SORTIES'!E52+'ENTREES &amp; SORTIES'!F52-'ENTREES &amp; SORTIES'!G52-'ENTREES &amp; SORTIES'!H52-'ENTREES &amp; SORTIES'!I52-'ENTREES &amp; SORTIES'!J52-'VENTES &amp; STOCK'!A48-'VENTES &amp; STOCK'!B48-'VENTES &amp; STOCK'!C48-'VENTES &amp; STOCK'!D48-'VENTES &amp; STOCK'!E48-'VENTES &amp; STOCK'!F48</f>
        <v>0</v>
      </c>
      <c r="H48" s="95"/>
      <c r="I48" s="96"/>
      <c r="J48" s="102"/>
    </row>
    <row r="49" spans="1:10" ht="16" thickBot="1" x14ac:dyDescent="0.25">
      <c r="A49" s="33"/>
      <c r="B49" s="33"/>
      <c r="C49" s="33"/>
      <c r="D49" s="33"/>
      <c r="E49" s="34"/>
      <c r="F49" s="33"/>
      <c r="G49" s="93">
        <f>'ENTREES &amp; SORTIES'!D53+'ENTREES &amp; SORTIES'!E53+'ENTREES &amp; SORTIES'!F53-'ENTREES &amp; SORTIES'!G53-'ENTREES &amp; SORTIES'!H53-'ENTREES &amp; SORTIES'!I53-'ENTREES &amp; SORTIES'!J53-'VENTES &amp; STOCK'!A49-'VENTES &amp; STOCK'!B49-'VENTES &amp; STOCK'!C49-'VENTES &amp; STOCK'!D49-'VENTES &amp; STOCK'!E49-'VENTES &amp; STOCK'!F49</f>
        <v>0</v>
      </c>
      <c r="H49" s="95"/>
      <c r="I49" s="96"/>
      <c r="J49" s="102"/>
    </row>
    <row r="50" spans="1:10" ht="16" thickBot="1" x14ac:dyDescent="0.25">
      <c r="A50" s="33"/>
      <c r="B50" s="33"/>
      <c r="C50" s="33"/>
      <c r="D50" s="33"/>
      <c r="E50" s="34"/>
      <c r="F50" s="33"/>
      <c r="G50" s="93">
        <f>'ENTREES &amp; SORTIES'!D54+'ENTREES &amp; SORTIES'!E54+'ENTREES &amp; SORTIES'!F54-'ENTREES &amp; SORTIES'!G54-'ENTREES &amp; SORTIES'!H54-'ENTREES &amp; SORTIES'!I54-'ENTREES &amp; SORTIES'!J54-'VENTES &amp; STOCK'!A50-'VENTES &amp; STOCK'!B50-'VENTES &amp; STOCK'!C50-'VENTES &amp; STOCK'!D50-'VENTES &amp; STOCK'!E50-'VENTES &amp; STOCK'!F50</f>
        <v>0</v>
      </c>
      <c r="H50" s="95"/>
      <c r="I50" s="96"/>
      <c r="J50" s="102"/>
    </row>
    <row r="51" spans="1:10" ht="16" thickBot="1" x14ac:dyDescent="0.25">
      <c r="A51" s="33"/>
      <c r="B51" s="33"/>
      <c r="C51" s="33"/>
      <c r="D51" s="33"/>
      <c r="E51" s="34"/>
      <c r="F51" s="33"/>
      <c r="G51" s="93">
        <f>'ENTREES &amp; SORTIES'!D55+'ENTREES &amp; SORTIES'!E55+'ENTREES &amp; SORTIES'!F55-'ENTREES &amp; SORTIES'!G55-'ENTREES &amp; SORTIES'!H55-'ENTREES &amp; SORTIES'!I55-'ENTREES &amp; SORTIES'!J55-'VENTES &amp; STOCK'!A51-'VENTES &amp; STOCK'!B51-'VENTES &amp; STOCK'!C51-'VENTES &amp; STOCK'!D51-'VENTES &amp; STOCK'!E51-'VENTES &amp; STOCK'!F51</f>
        <v>0</v>
      </c>
      <c r="H51" s="95"/>
      <c r="I51" s="96"/>
      <c r="J51" s="102"/>
    </row>
    <row r="52" spans="1:10" ht="16" thickBot="1" x14ac:dyDescent="0.25">
      <c r="A52" s="33"/>
      <c r="B52" s="33"/>
      <c r="C52" s="33"/>
      <c r="D52" s="33"/>
      <c r="E52" s="34"/>
      <c r="F52" s="33"/>
      <c r="G52" s="93">
        <f>'ENTREES &amp; SORTIES'!D56+'ENTREES &amp; SORTIES'!E56+'ENTREES &amp; SORTIES'!F56-'ENTREES &amp; SORTIES'!G56-'ENTREES &amp; SORTIES'!H56-'ENTREES &amp; SORTIES'!I56-'ENTREES &amp; SORTIES'!J56-'VENTES &amp; STOCK'!A52-'VENTES &amp; STOCK'!B52-'VENTES &amp; STOCK'!C52-'VENTES &amp; STOCK'!D52-'VENTES &amp; STOCK'!E52-'VENTES &amp; STOCK'!F52</f>
        <v>0</v>
      </c>
      <c r="H52" s="95"/>
      <c r="I52" s="96"/>
      <c r="J52" s="102"/>
    </row>
    <row r="53" spans="1:10" ht="16" thickBot="1" x14ac:dyDescent="0.25">
      <c r="A53" s="33"/>
      <c r="B53" s="33"/>
      <c r="C53" s="33"/>
      <c r="D53" s="33"/>
      <c r="E53" s="34"/>
      <c r="F53" s="33"/>
      <c r="G53" s="93">
        <f>'ENTREES &amp; SORTIES'!D57+'ENTREES &amp; SORTIES'!E57+'ENTREES &amp; SORTIES'!F57-'ENTREES &amp; SORTIES'!G57-'ENTREES &amp; SORTIES'!H57-'ENTREES &amp; SORTIES'!I57-'ENTREES &amp; SORTIES'!J57-'VENTES &amp; STOCK'!A53-'VENTES &amp; STOCK'!B53-'VENTES &amp; STOCK'!C53-'VENTES &amp; STOCK'!D53-'VENTES &amp; STOCK'!E53-'VENTES &amp; STOCK'!F53</f>
        <v>0</v>
      </c>
      <c r="H53" s="95"/>
      <c r="I53" s="96"/>
      <c r="J53" s="102"/>
    </row>
    <row r="54" spans="1:10" ht="16" thickBot="1" x14ac:dyDescent="0.25">
      <c r="A54" s="33"/>
      <c r="B54" s="33"/>
      <c r="C54" s="33"/>
      <c r="D54" s="33"/>
      <c r="E54" s="34"/>
      <c r="F54" s="33"/>
      <c r="G54" s="93">
        <f>'ENTREES &amp; SORTIES'!D58+'ENTREES &amp; SORTIES'!E58+'ENTREES &amp; SORTIES'!F58-'ENTREES &amp; SORTIES'!G58-'ENTREES &amp; SORTIES'!H58-'ENTREES &amp; SORTIES'!I58-'ENTREES &amp; SORTIES'!J58-'VENTES &amp; STOCK'!A54-'VENTES &amp; STOCK'!B54-'VENTES &amp; STOCK'!C54-'VENTES &amp; STOCK'!D54-'VENTES &amp; STOCK'!E54-'VENTES &amp; STOCK'!F54</f>
        <v>0</v>
      </c>
      <c r="H54" s="95"/>
      <c r="I54" s="96"/>
      <c r="J54" s="102"/>
    </row>
    <row r="55" spans="1:10" ht="16" thickBot="1" x14ac:dyDescent="0.25">
      <c r="A55" s="33"/>
      <c r="B55" s="33"/>
      <c r="C55" s="33"/>
      <c r="D55" s="33"/>
      <c r="E55" s="34"/>
      <c r="F55" s="33"/>
      <c r="G55" s="93">
        <f>'ENTREES &amp; SORTIES'!D59+'ENTREES &amp; SORTIES'!E59+'ENTREES &amp; SORTIES'!F59-'ENTREES &amp; SORTIES'!G59-'ENTREES &amp; SORTIES'!H59-'ENTREES &amp; SORTIES'!I59-'ENTREES &amp; SORTIES'!J59-'VENTES &amp; STOCK'!A55-'VENTES &amp; STOCK'!B55-'VENTES &amp; STOCK'!C55-'VENTES &amp; STOCK'!D55-'VENTES &amp; STOCK'!E55-'VENTES &amp; STOCK'!F55</f>
        <v>0</v>
      </c>
      <c r="H55" s="95"/>
      <c r="I55" s="96"/>
      <c r="J55" s="102"/>
    </row>
    <row r="56" spans="1:10" ht="16" thickBot="1" x14ac:dyDescent="0.25">
      <c r="A56" s="33"/>
      <c r="B56" s="33"/>
      <c r="C56" s="33"/>
      <c r="D56" s="33"/>
      <c r="E56" s="34"/>
      <c r="F56" s="33"/>
      <c r="G56" s="93">
        <f>'ENTREES &amp; SORTIES'!D60+'ENTREES &amp; SORTIES'!E60+'ENTREES &amp; SORTIES'!F60-'ENTREES &amp; SORTIES'!G60-'ENTREES &amp; SORTIES'!H60-'ENTREES &amp; SORTIES'!I60-'ENTREES &amp; SORTIES'!J60-'VENTES &amp; STOCK'!A56-'VENTES &amp; STOCK'!B56-'VENTES &amp; STOCK'!C56-'VENTES &amp; STOCK'!D56-'VENTES &amp; STOCK'!E56-'VENTES &amp; STOCK'!F56</f>
        <v>0</v>
      </c>
      <c r="H56" s="95"/>
      <c r="I56" s="96"/>
      <c r="J56" s="102"/>
    </row>
    <row r="57" spans="1:10" ht="16" thickBot="1" x14ac:dyDescent="0.25">
      <c r="A57" s="33"/>
      <c r="B57" s="33"/>
      <c r="C57" s="33"/>
      <c r="D57" s="33"/>
      <c r="E57" s="34"/>
      <c r="F57" s="33"/>
      <c r="G57" s="93">
        <f>'ENTREES &amp; SORTIES'!D61+'ENTREES &amp; SORTIES'!E61+'ENTREES &amp; SORTIES'!F61-'ENTREES &amp; SORTIES'!G61-'ENTREES &amp; SORTIES'!H61-'ENTREES &amp; SORTIES'!I61-'ENTREES &amp; SORTIES'!J61-'VENTES &amp; STOCK'!A57-'VENTES &amp; STOCK'!B57-'VENTES &amp; STOCK'!C57-'VENTES &amp; STOCK'!D57-'VENTES &amp; STOCK'!E57-'VENTES &amp; STOCK'!F57</f>
        <v>0</v>
      </c>
      <c r="H57" s="95"/>
      <c r="I57" s="96"/>
      <c r="J57" s="102"/>
    </row>
    <row r="58" spans="1:10" ht="16" thickBot="1" x14ac:dyDescent="0.25">
      <c r="A58" s="33"/>
      <c r="B58" s="33"/>
      <c r="C58" s="33"/>
      <c r="D58" s="33"/>
      <c r="E58" s="34"/>
      <c r="F58" s="33"/>
      <c r="G58" s="93">
        <f>'ENTREES &amp; SORTIES'!D62+'ENTREES &amp; SORTIES'!E62+'ENTREES &amp; SORTIES'!F62-'ENTREES &amp; SORTIES'!G62-'ENTREES &amp; SORTIES'!H62-'ENTREES &amp; SORTIES'!I62-'ENTREES &amp; SORTIES'!J62-'VENTES &amp; STOCK'!A58-'VENTES &amp; STOCK'!B58-'VENTES &amp; STOCK'!C58-'VENTES &amp; STOCK'!D58-'VENTES &amp; STOCK'!E58-'VENTES &amp; STOCK'!F58</f>
        <v>0</v>
      </c>
      <c r="H58" s="95"/>
      <c r="I58" s="96"/>
      <c r="J58" s="102"/>
    </row>
    <row r="59" spans="1:10" ht="16" thickBot="1" x14ac:dyDescent="0.25">
      <c r="A59" s="33"/>
      <c r="B59" s="33"/>
      <c r="C59" s="33"/>
      <c r="D59" s="33"/>
      <c r="E59" s="34"/>
      <c r="F59" s="33"/>
      <c r="G59" s="93">
        <f>'ENTREES &amp; SORTIES'!D63+'ENTREES &amp; SORTIES'!E63+'ENTREES &amp; SORTIES'!F63-'ENTREES &amp; SORTIES'!G63-'ENTREES &amp; SORTIES'!H63-'ENTREES &amp; SORTIES'!I63-'ENTREES &amp; SORTIES'!J63-'VENTES &amp; STOCK'!A59-'VENTES &amp; STOCK'!B59-'VENTES &amp; STOCK'!C59-'VENTES &amp; STOCK'!D59-'VENTES &amp; STOCK'!E59-'VENTES &amp; STOCK'!F59</f>
        <v>0</v>
      </c>
      <c r="H59" s="95"/>
      <c r="I59" s="96"/>
      <c r="J59" s="102"/>
    </row>
    <row r="60" spans="1:10" ht="16" thickBot="1" x14ac:dyDescent="0.25">
      <c r="A60" s="33"/>
      <c r="B60" s="33"/>
      <c r="C60" s="33"/>
      <c r="D60" s="33"/>
      <c r="E60" s="34"/>
      <c r="F60" s="33"/>
      <c r="G60" s="93">
        <f>'ENTREES &amp; SORTIES'!D64+'ENTREES &amp; SORTIES'!E64+'ENTREES &amp; SORTIES'!F64-'ENTREES &amp; SORTIES'!G64-'ENTREES &amp; SORTIES'!H64-'ENTREES &amp; SORTIES'!I64-'ENTREES &amp; SORTIES'!J64-'VENTES &amp; STOCK'!A60-'VENTES &amp; STOCK'!B60-'VENTES &amp; STOCK'!C60-'VENTES &amp; STOCK'!D60-'VENTES &amp; STOCK'!E60-'VENTES &amp; STOCK'!F60</f>
        <v>0</v>
      </c>
      <c r="H60" s="95"/>
      <c r="I60" s="96"/>
      <c r="J60" s="102"/>
    </row>
    <row r="61" spans="1:10" ht="16" thickBot="1" x14ac:dyDescent="0.25">
      <c r="A61" s="33"/>
      <c r="B61" s="33"/>
      <c r="C61" s="33"/>
      <c r="D61" s="33"/>
      <c r="E61" s="34"/>
      <c r="F61" s="33"/>
      <c r="G61" s="93">
        <f>'ENTREES &amp; SORTIES'!D65+'ENTREES &amp; SORTIES'!E65+'ENTREES &amp; SORTIES'!F65-'ENTREES &amp; SORTIES'!G65-'ENTREES &amp; SORTIES'!H65-'ENTREES &amp; SORTIES'!I65-'ENTREES &amp; SORTIES'!J65-'VENTES &amp; STOCK'!A61-'VENTES &amp; STOCK'!B61-'VENTES &amp; STOCK'!C61-'VENTES &amp; STOCK'!D61-'VENTES &amp; STOCK'!E61-'VENTES &amp; STOCK'!F61</f>
        <v>0</v>
      </c>
      <c r="H61" s="95"/>
      <c r="I61" s="96"/>
      <c r="J61" s="102"/>
    </row>
    <row r="62" spans="1:10" ht="16" thickBot="1" x14ac:dyDescent="0.25">
      <c r="A62" s="33"/>
      <c r="B62" s="33"/>
      <c r="C62" s="33"/>
      <c r="D62" s="33"/>
      <c r="E62" s="34"/>
      <c r="F62" s="33"/>
      <c r="G62" s="93">
        <f>'ENTREES &amp; SORTIES'!D66+'ENTREES &amp; SORTIES'!E66+'ENTREES &amp; SORTIES'!F66-'ENTREES &amp; SORTIES'!G66-'ENTREES &amp; SORTIES'!H66-'ENTREES &amp; SORTIES'!I66-'ENTREES &amp; SORTIES'!J66-'VENTES &amp; STOCK'!A62-'VENTES &amp; STOCK'!B62-'VENTES &amp; STOCK'!C62-'VENTES &amp; STOCK'!D62-'VENTES &amp; STOCK'!E62-'VENTES &amp; STOCK'!F62</f>
        <v>0</v>
      </c>
      <c r="H62" s="95"/>
      <c r="I62" s="96"/>
      <c r="J62" s="102"/>
    </row>
    <row r="63" spans="1:10" ht="16" thickBot="1" x14ac:dyDescent="0.25">
      <c r="A63" s="33"/>
      <c r="B63" s="33"/>
      <c r="C63" s="33"/>
      <c r="D63" s="33"/>
      <c r="E63" s="34"/>
      <c r="F63" s="33"/>
      <c r="G63" s="93">
        <f>'ENTREES &amp; SORTIES'!D67+'ENTREES &amp; SORTIES'!E67+'ENTREES &amp; SORTIES'!F67-'ENTREES &amp; SORTIES'!G67-'ENTREES &amp; SORTIES'!H67-'ENTREES &amp; SORTIES'!I67-'ENTREES &amp; SORTIES'!J67-'VENTES &amp; STOCK'!A63-'VENTES &amp; STOCK'!B63-'VENTES &amp; STOCK'!C63-'VENTES &amp; STOCK'!D63-'VENTES &amp; STOCK'!E63-'VENTES &amp; STOCK'!F63</f>
        <v>0</v>
      </c>
      <c r="H63" s="95"/>
      <c r="I63" s="96"/>
      <c r="J63" s="102"/>
    </row>
    <row r="64" spans="1:10" ht="16" thickBot="1" x14ac:dyDescent="0.25">
      <c r="A64" s="33"/>
      <c r="B64" s="33"/>
      <c r="C64" s="33"/>
      <c r="D64" s="33"/>
      <c r="E64" s="34"/>
      <c r="F64" s="33"/>
      <c r="G64" s="93">
        <f>'ENTREES &amp; SORTIES'!D68+'ENTREES &amp; SORTIES'!E68+'ENTREES &amp; SORTIES'!F68-'ENTREES &amp; SORTIES'!G68-'ENTREES &amp; SORTIES'!H68-'ENTREES &amp; SORTIES'!I68-'ENTREES &amp; SORTIES'!J68-'VENTES &amp; STOCK'!A64-'VENTES &amp; STOCK'!B64-'VENTES &amp; STOCK'!C64-'VENTES &amp; STOCK'!D64-'VENTES &amp; STOCK'!E64-'VENTES &amp; STOCK'!F64</f>
        <v>0</v>
      </c>
      <c r="H64" s="95"/>
      <c r="I64" s="96"/>
      <c r="J64" s="102"/>
    </row>
    <row r="65" spans="1:10" ht="16" thickBot="1" x14ac:dyDescent="0.25">
      <c r="A65" s="33"/>
      <c r="B65" s="33"/>
      <c r="C65" s="33"/>
      <c r="D65" s="33"/>
      <c r="E65" s="34"/>
      <c r="F65" s="33"/>
      <c r="G65" s="93">
        <f>'ENTREES &amp; SORTIES'!D69+'ENTREES &amp; SORTIES'!E69+'ENTREES &amp; SORTIES'!F69-'ENTREES &amp; SORTIES'!G69-'ENTREES &amp; SORTIES'!H69-'ENTREES &amp; SORTIES'!I69-'ENTREES &amp; SORTIES'!J69-'VENTES &amp; STOCK'!A65-'VENTES &amp; STOCK'!B65-'VENTES &amp; STOCK'!C65-'VENTES &amp; STOCK'!D65-'VENTES &amp; STOCK'!E65-'VENTES &amp; STOCK'!F65</f>
        <v>0</v>
      </c>
      <c r="H65" s="95"/>
      <c r="I65" s="96"/>
      <c r="J65" s="102"/>
    </row>
    <row r="66" spans="1:10" ht="16" thickBot="1" x14ac:dyDescent="0.25">
      <c r="A66" s="33"/>
      <c r="B66" s="33"/>
      <c r="C66" s="33"/>
      <c r="D66" s="33"/>
      <c r="E66" s="34"/>
      <c r="F66" s="33"/>
      <c r="G66" s="93">
        <f>'ENTREES &amp; SORTIES'!D70+'ENTREES &amp; SORTIES'!E70+'ENTREES &amp; SORTIES'!F70-'ENTREES &amp; SORTIES'!G70-'ENTREES &amp; SORTIES'!H70-'ENTREES &amp; SORTIES'!I70-'ENTREES &amp; SORTIES'!J70-'VENTES &amp; STOCK'!A66-'VENTES &amp; STOCK'!B66-'VENTES &amp; STOCK'!C66-'VENTES &amp; STOCK'!D66-'VENTES &amp; STOCK'!E66-'VENTES &amp; STOCK'!F66</f>
        <v>0</v>
      </c>
      <c r="H66" s="95"/>
      <c r="I66" s="96"/>
      <c r="J66" s="102"/>
    </row>
    <row r="67" spans="1:10" ht="16" thickBot="1" x14ac:dyDescent="0.25">
      <c r="A67" s="33"/>
      <c r="B67" s="33"/>
      <c r="C67" s="33"/>
      <c r="D67" s="33"/>
      <c r="E67" s="34"/>
      <c r="F67" s="33"/>
      <c r="G67" s="93">
        <f>'ENTREES &amp; SORTIES'!D71+'ENTREES &amp; SORTIES'!E71+'ENTREES &amp; SORTIES'!F71-'ENTREES &amp; SORTIES'!G71-'ENTREES &amp; SORTIES'!H71-'ENTREES &amp; SORTIES'!I71-'ENTREES &amp; SORTIES'!J71-'VENTES &amp; STOCK'!A67-'VENTES &amp; STOCK'!B67-'VENTES &amp; STOCK'!C67-'VENTES &amp; STOCK'!D67-'VENTES &amp; STOCK'!E67-'VENTES &amp; STOCK'!F67</f>
        <v>0</v>
      </c>
      <c r="H67" s="95"/>
      <c r="I67" s="96"/>
      <c r="J67" s="102"/>
    </row>
    <row r="68" spans="1:10" ht="16" thickBot="1" x14ac:dyDescent="0.25">
      <c r="A68" s="33"/>
      <c r="B68" s="33"/>
      <c r="C68" s="33"/>
      <c r="D68" s="33"/>
      <c r="E68" s="34"/>
      <c r="F68" s="33"/>
      <c r="G68" s="93">
        <f>'ENTREES &amp; SORTIES'!D72+'ENTREES &amp; SORTIES'!E72+'ENTREES &amp; SORTIES'!F72-'ENTREES &amp; SORTIES'!G72-'ENTREES &amp; SORTIES'!H72-'ENTREES &amp; SORTIES'!I72-'ENTREES &amp; SORTIES'!J72-'VENTES &amp; STOCK'!A68-'VENTES &amp; STOCK'!B68-'VENTES &amp; STOCK'!C68-'VENTES &amp; STOCK'!D68-'VENTES &amp; STOCK'!E68-'VENTES &amp; STOCK'!F68</f>
        <v>0</v>
      </c>
      <c r="H68" s="95"/>
      <c r="I68" s="96"/>
      <c r="J68" s="102"/>
    </row>
    <row r="69" spans="1:10" ht="16" thickBot="1" x14ac:dyDescent="0.25">
      <c r="A69" s="33"/>
      <c r="B69" s="33"/>
      <c r="C69" s="33"/>
      <c r="D69" s="33"/>
      <c r="E69" s="34"/>
      <c r="F69" s="33"/>
      <c r="G69" s="93">
        <f>'ENTREES &amp; SORTIES'!D73+'ENTREES &amp; SORTIES'!E73+'ENTREES &amp; SORTIES'!F73-'ENTREES &amp; SORTIES'!G73-'ENTREES &amp; SORTIES'!H73-'ENTREES &amp; SORTIES'!I73-'ENTREES &amp; SORTIES'!J73-'VENTES &amp; STOCK'!A69-'VENTES &amp; STOCK'!B69-'VENTES &amp; STOCK'!C69-'VENTES &amp; STOCK'!D69-'VENTES &amp; STOCK'!E69-'VENTES &amp; STOCK'!F69</f>
        <v>0</v>
      </c>
      <c r="H69" s="95"/>
      <c r="I69" s="96"/>
      <c r="J69" s="102"/>
    </row>
    <row r="70" spans="1:10" ht="16" thickBot="1" x14ac:dyDescent="0.25">
      <c r="A70" s="33"/>
      <c r="B70" s="33"/>
      <c r="C70" s="33"/>
      <c r="D70" s="33"/>
      <c r="E70" s="34"/>
      <c r="F70" s="33"/>
      <c r="G70" s="93">
        <f>'ENTREES &amp; SORTIES'!D74+'ENTREES &amp; SORTIES'!E74+'ENTREES &amp; SORTIES'!F74-'ENTREES &amp; SORTIES'!G74-'ENTREES &amp; SORTIES'!H74-'ENTREES &amp; SORTIES'!I74-'ENTREES &amp; SORTIES'!J74-'VENTES &amp; STOCK'!A70-'VENTES &amp; STOCK'!B70-'VENTES &amp; STOCK'!C70-'VENTES &amp; STOCK'!D70-'VENTES &amp; STOCK'!E70-'VENTES &amp; STOCK'!F70</f>
        <v>0</v>
      </c>
      <c r="H70" s="95"/>
      <c r="I70" s="96"/>
      <c r="J70" s="102"/>
    </row>
    <row r="71" spans="1:10" ht="16" thickBot="1" x14ac:dyDescent="0.25">
      <c r="A71" s="33"/>
      <c r="B71" s="33"/>
      <c r="C71" s="33"/>
      <c r="D71" s="33"/>
      <c r="E71" s="34"/>
      <c r="F71" s="33"/>
      <c r="G71" s="93">
        <f>'ENTREES &amp; SORTIES'!D75+'ENTREES &amp; SORTIES'!E75+'ENTREES &amp; SORTIES'!F75-'ENTREES &amp; SORTIES'!G75-'ENTREES &amp; SORTIES'!H75-'ENTREES &amp; SORTIES'!I75-'ENTREES &amp; SORTIES'!J75-'VENTES &amp; STOCK'!A71-'VENTES &amp; STOCK'!B71-'VENTES &amp; STOCK'!C71-'VENTES &amp; STOCK'!D71-'VENTES &amp; STOCK'!E71-'VENTES &amp; STOCK'!F71</f>
        <v>0</v>
      </c>
      <c r="H71" s="95"/>
      <c r="I71" s="96"/>
      <c r="J71" s="102"/>
    </row>
    <row r="72" spans="1:10" ht="16" thickBot="1" x14ac:dyDescent="0.25">
      <c r="A72" s="33"/>
      <c r="B72" s="33"/>
      <c r="C72" s="33"/>
      <c r="D72" s="33"/>
      <c r="E72" s="34"/>
      <c r="F72" s="33"/>
      <c r="G72" s="93">
        <f>'ENTREES &amp; SORTIES'!D76+'ENTREES &amp; SORTIES'!E76+'ENTREES &amp; SORTIES'!F76-'ENTREES &amp; SORTIES'!G76-'ENTREES &amp; SORTIES'!H76-'ENTREES &amp; SORTIES'!I76-'ENTREES &amp; SORTIES'!J76-'VENTES &amp; STOCK'!A72-'VENTES &amp; STOCK'!B72-'VENTES &amp; STOCK'!C72-'VENTES &amp; STOCK'!D72-'VENTES &amp; STOCK'!E72-'VENTES &amp; STOCK'!F72</f>
        <v>0</v>
      </c>
      <c r="H72" s="95"/>
      <c r="I72" s="96"/>
      <c r="J72" s="102"/>
    </row>
    <row r="73" spans="1:10" ht="16" thickBot="1" x14ac:dyDescent="0.25">
      <c r="A73" s="33"/>
      <c r="B73" s="33"/>
      <c r="C73" s="33"/>
      <c r="D73" s="33"/>
      <c r="E73" s="34"/>
      <c r="F73" s="33"/>
      <c r="G73" s="93">
        <f>'ENTREES &amp; SORTIES'!D77+'ENTREES &amp; SORTIES'!E77+'ENTREES &amp; SORTIES'!F77-'ENTREES &amp; SORTIES'!G77-'ENTREES &amp; SORTIES'!H77-'ENTREES &amp; SORTIES'!I77-'ENTREES &amp; SORTIES'!J77-'VENTES &amp; STOCK'!A73-'VENTES &amp; STOCK'!B73-'VENTES &amp; STOCK'!C73-'VENTES &amp; STOCK'!D73-'VENTES &amp; STOCK'!E73-'VENTES &amp; STOCK'!F73</f>
        <v>0</v>
      </c>
      <c r="H73" s="95"/>
      <c r="I73" s="96"/>
      <c r="J73" s="102"/>
    </row>
    <row r="74" spans="1:10" ht="16" thickBot="1" x14ac:dyDescent="0.25">
      <c r="A74" s="33"/>
      <c r="B74" s="33"/>
      <c r="C74" s="33"/>
      <c r="D74" s="33"/>
      <c r="E74" s="34"/>
      <c r="F74" s="33"/>
      <c r="G74" s="93">
        <f>'ENTREES &amp; SORTIES'!D78+'ENTREES &amp; SORTIES'!E78+'ENTREES &amp; SORTIES'!F78-'ENTREES &amp; SORTIES'!G78-'ENTREES &amp; SORTIES'!H78-'ENTREES &amp; SORTIES'!I78-'ENTREES &amp; SORTIES'!J78-'VENTES &amp; STOCK'!A74-'VENTES &amp; STOCK'!B74-'VENTES &amp; STOCK'!C74-'VENTES &amp; STOCK'!D74-'VENTES &amp; STOCK'!E74-'VENTES &amp; STOCK'!F74</f>
        <v>0</v>
      </c>
      <c r="H74" s="95"/>
      <c r="I74" s="96"/>
      <c r="J74" s="102"/>
    </row>
    <row r="75" spans="1:10" ht="16" thickBot="1" x14ac:dyDescent="0.25">
      <c r="A75" s="33"/>
      <c r="B75" s="33"/>
      <c r="C75" s="33"/>
      <c r="D75" s="33"/>
      <c r="E75" s="34"/>
      <c r="F75" s="33"/>
      <c r="G75" s="93">
        <f>'ENTREES &amp; SORTIES'!D79+'ENTREES &amp; SORTIES'!E79+'ENTREES &amp; SORTIES'!F79-'ENTREES &amp; SORTIES'!G79-'ENTREES &amp; SORTIES'!H79-'ENTREES &amp; SORTIES'!I79-'ENTREES &amp; SORTIES'!J79-'VENTES &amp; STOCK'!A75-'VENTES &amp; STOCK'!B75-'VENTES &amp; STOCK'!C75-'VENTES &amp; STOCK'!D75-'VENTES &amp; STOCK'!E75-'VENTES &amp; STOCK'!F75</f>
        <v>0</v>
      </c>
      <c r="H75" s="95"/>
      <c r="I75" s="96"/>
      <c r="J75" s="102"/>
    </row>
    <row r="76" spans="1:10" ht="16" thickBot="1" x14ac:dyDescent="0.25">
      <c r="A76" s="33"/>
      <c r="B76" s="33"/>
      <c r="C76" s="33"/>
      <c r="D76" s="33"/>
      <c r="E76" s="34"/>
      <c r="F76" s="33"/>
      <c r="G76" s="93">
        <f>'ENTREES &amp; SORTIES'!D80+'ENTREES &amp; SORTIES'!E80+'ENTREES &amp; SORTIES'!F80-'ENTREES &amp; SORTIES'!G80-'ENTREES &amp; SORTIES'!H80-'ENTREES &amp; SORTIES'!I80-'ENTREES &amp; SORTIES'!J80-'VENTES &amp; STOCK'!A76-'VENTES &amp; STOCK'!B76-'VENTES &amp; STOCK'!C76-'VENTES &amp; STOCK'!D76-'VENTES &amp; STOCK'!E76-'VENTES &amp; STOCK'!F76</f>
        <v>0</v>
      </c>
      <c r="H76" s="95"/>
      <c r="I76" s="96"/>
      <c r="J76" s="102"/>
    </row>
    <row r="77" spans="1:10" ht="16" thickBot="1" x14ac:dyDescent="0.25">
      <c r="A77" s="33"/>
      <c r="B77" s="33"/>
      <c r="C77" s="33"/>
      <c r="D77" s="33"/>
      <c r="E77" s="34"/>
      <c r="F77" s="33"/>
      <c r="G77" s="93">
        <f>'ENTREES &amp; SORTIES'!D81+'ENTREES &amp; SORTIES'!E81+'ENTREES &amp; SORTIES'!F81-'ENTREES &amp; SORTIES'!G81-'ENTREES &amp; SORTIES'!H81-'ENTREES &amp; SORTIES'!I81-'ENTREES &amp; SORTIES'!J81-'VENTES &amp; STOCK'!A77-'VENTES &amp; STOCK'!B77-'VENTES &amp; STOCK'!C77-'VENTES &amp; STOCK'!D77-'VENTES &amp; STOCK'!E77-'VENTES &amp; STOCK'!F77</f>
        <v>0</v>
      </c>
      <c r="H77" s="95"/>
      <c r="I77" s="96"/>
      <c r="J77" s="103"/>
    </row>
    <row r="78" spans="1:10" ht="16" thickBot="1" x14ac:dyDescent="0.25">
      <c r="A78" s="33"/>
      <c r="B78" s="33"/>
      <c r="C78" s="33"/>
      <c r="D78" s="33"/>
      <c r="E78" s="34"/>
      <c r="F78" s="33"/>
      <c r="G78" s="93">
        <f>'ENTREES &amp; SORTIES'!D82+'ENTREES &amp; SORTIES'!E82+'ENTREES &amp; SORTIES'!F82-'ENTREES &amp; SORTIES'!G82-'ENTREES &amp; SORTIES'!H82-'ENTREES &amp; SORTIES'!I82-'ENTREES &amp; SORTIES'!J82-'VENTES &amp; STOCK'!A78-'VENTES &amp; STOCK'!B78-'VENTES &amp; STOCK'!C78-'VENTES &amp; STOCK'!D78-'VENTES &amp; STOCK'!E78-'VENTES &amp; STOCK'!F78</f>
        <v>0</v>
      </c>
      <c r="H78" s="95"/>
      <c r="I78" s="96"/>
      <c r="J78" s="103"/>
    </row>
    <row r="79" spans="1:10" ht="16" thickBot="1" x14ac:dyDescent="0.25">
      <c r="A79" s="33"/>
      <c r="B79" s="33"/>
      <c r="C79" s="33"/>
      <c r="D79" s="33"/>
      <c r="E79" s="34"/>
      <c r="F79" s="33"/>
      <c r="G79" s="93">
        <f>'ENTREES &amp; SORTIES'!D83+'ENTREES &amp; SORTIES'!E83+'ENTREES &amp; SORTIES'!F83-'ENTREES &amp; SORTIES'!G83-'ENTREES &amp; SORTIES'!H83-'ENTREES &amp; SORTIES'!I83-'ENTREES &amp; SORTIES'!J83-'VENTES &amp; STOCK'!A79-'VENTES &amp; STOCK'!B79-'VENTES &amp; STOCK'!C79-'VENTES &amp; STOCK'!D79-'VENTES &amp; STOCK'!E79-'VENTES &amp; STOCK'!F79</f>
        <v>0</v>
      </c>
      <c r="H79" s="95"/>
      <c r="I79" s="96"/>
      <c r="J79" s="103"/>
    </row>
    <row r="80" spans="1:10" ht="16" thickBot="1" x14ac:dyDescent="0.25">
      <c r="A80" s="33"/>
      <c r="B80" s="33"/>
      <c r="C80" s="33"/>
      <c r="D80" s="33"/>
      <c r="E80" s="34"/>
      <c r="F80" s="33"/>
      <c r="G80" s="93">
        <f>'ENTREES &amp; SORTIES'!D84+'ENTREES &amp; SORTIES'!E84+'ENTREES &amp; SORTIES'!F84-'ENTREES &amp; SORTIES'!G84-'ENTREES &amp; SORTIES'!H84-'ENTREES &amp; SORTIES'!I84-'ENTREES &amp; SORTIES'!J84-'VENTES &amp; STOCK'!A80-'VENTES &amp; STOCK'!B80-'VENTES &amp; STOCK'!C80-'VENTES &amp; STOCK'!D80-'VENTES &amp; STOCK'!E80-'VENTES &amp; STOCK'!F80</f>
        <v>0</v>
      </c>
      <c r="H80" s="77"/>
      <c r="I80" s="77"/>
      <c r="J80" s="104"/>
    </row>
    <row r="81" spans="1:10" ht="16" thickBot="1" x14ac:dyDescent="0.25">
      <c r="A81" s="33"/>
      <c r="B81" s="33"/>
      <c r="C81" s="33"/>
      <c r="D81" s="33"/>
      <c r="E81" s="34"/>
      <c r="F81" s="33"/>
      <c r="G81" s="93">
        <f>'ENTREES &amp; SORTIES'!D85+'ENTREES &amp; SORTIES'!E85+'ENTREES &amp; SORTIES'!F85-'ENTREES &amp; SORTIES'!G85-'ENTREES &amp; SORTIES'!H85-'ENTREES &amp; SORTIES'!I85-'ENTREES &amp; SORTIES'!J85-'VENTES &amp; STOCK'!A81-'VENTES &amp; STOCK'!B81-'VENTES &amp; STOCK'!C81-'VENTES &amp; STOCK'!D81-'VENTES &amp; STOCK'!E81-'VENTES &amp; STOCK'!F81</f>
        <v>0</v>
      </c>
      <c r="H81" s="77"/>
      <c r="I81" s="77"/>
      <c r="J81" s="104"/>
    </row>
    <row r="82" spans="1:10" ht="16" thickBot="1" x14ac:dyDescent="0.25">
      <c r="A82" s="33"/>
      <c r="B82" s="33"/>
      <c r="C82" s="33"/>
      <c r="D82" s="33"/>
      <c r="E82" s="34"/>
      <c r="F82" s="33"/>
      <c r="G82" s="93">
        <f>'ENTREES &amp; SORTIES'!D86+'ENTREES &amp; SORTIES'!E86+'ENTREES &amp; SORTIES'!F86-'ENTREES &amp; SORTIES'!G86-'ENTREES &amp; SORTIES'!H86-'ENTREES &amp; SORTIES'!I86-'ENTREES &amp; SORTIES'!J86-'VENTES &amp; STOCK'!A82-'VENTES &amp; STOCK'!B82-'VENTES &amp; STOCK'!C82-'VENTES &amp; STOCK'!D82-'VENTES &amp; STOCK'!E82-'VENTES &amp; STOCK'!F82</f>
        <v>0</v>
      </c>
      <c r="H82" s="77"/>
      <c r="I82" s="77"/>
      <c r="J82" s="104"/>
    </row>
    <row r="83" spans="1:10" ht="16" thickBot="1" x14ac:dyDescent="0.25">
      <c r="A83" s="33"/>
      <c r="B83" s="33"/>
      <c r="C83" s="33"/>
      <c r="D83" s="33"/>
      <c r="E83" s="34"/>
      <c r="F83" s="33"/>
      <c r="G83" s="93">
        <f>'ENTREES &amp; SORTIES'!D87+'ENTREES &amp; SORTIES'!E87+'ENTREES &amp; SORTIES'!F87-'ENTREES &amp; SORTIES'!G87-'ENTREES &amp; SORTIES'!H87-'ENTREES &amp; SORTIES'!I87-'ENTREES &amp; SORTIES'!J87-'VENTES &amp; STOCK'!A83-'VENTES &amp; STOCK'!B83-'VENTES &amp; STOCK'!C83-'VENTES &amp; STOCK'!D83-'VENTES &amp; STOCK'!E83-'VENTES &amp; STOCK'!F83</f>
        <v>0</v>
      </c>
      <c r="H83" s="77"/>
      <c r="I83" s="77"/>
      <c r="J83" s="104"/>
    </row>
    <row r="84" spans="1:10" ht="16" thickBot="1" x14ac:dyDescent="0.25">
      <c r="A84" s="33"/>
      <c r="B84" s="33"/>
      <c r="C84" s="33"/>
      <c r="D84" s="33"/>
      <c r="E84" s="34"/>
      <c r="F84" s="33"/>
      <c r="G84" s="93">
        <f>'ENTREES &amp; SORTIES'!D88+'ENTREES &amp; SORTIES'!E88+'ENTREES &amp; SORTIES'!F88-'ENTREES &amp; SORTIES'!G88-'ENTREES &amp; SORTIES'!H88-'ENTREES &amp; SORTIES'!I88-'ENTREES &amp; SORTIES'!J88-'VENTES &amp; STOCK'!A84-'VENTES &amp; STOCK'!B84-'VENTES &amp; STOCK'!C84-'VENTES &amp; STOCK'!D84-'VENTES &amp; STOCK'!E84-'VENTES &amp; STOCK'!F84</f>
        <v>0</v>
      </c>
      <c r="H84" s="77"/>
      <c r="I84" s="77"/>
      <c r="J84" s="104"/>
    </row>
    <row r="85" spans="1:10" ht="16" hidden="1" thickBot="1" x14ac:dyDescent="0.25">
      <c r="A85" s="33"/>
      <c r="B85" s="33"/>
      <c r="C85" s="33"/>
      <c r="D85" s="33"/>
      <c r="E85" s="34"/>
      <c r="F85" s="33"/>
      <c r="G85" s="93">
        <f>'ENTREES &amp; SORTIES'!D89+'ENTREES &amp; SORTIES'!E89+'ENTREES &amp; SORTIES'!F89-'ENTREES &amp; SORTIES'!G89-'ENTREES &amp; SORTIES'!H89-'ENTREES &amp; SORTIES'!I89-'ENTREES &amp; SORTIES'!J89-'VENTES &amp; STOCK'!A85-'VENTES &amp; STOCK'!B85-'VENTES &amp; STOCK'!C85-'VENTES &amp; STOCK'!D85-'VENTES &amp; STOCK'!E85-'VENTES &amp; STOCK'!F85</f>
        <v>0</v>
      </c>
      <c r="H85" s="77"/>
      <c r="I85" s="77"/>
      <c r="J85" s="104"/>
    </row>
    <row r="86" spans="1:10" ht="16" hidden="1" thickBot="1" x14ac:dyDescent="0.25">
      <c r="A86" s="33"/>
      <c r="B86" s="33"/>
      <c r="C86" s="33"/>
      <c r="D86" s="33"/>
      <c r="E86" s="34"/>
      <c r="F86" s="33"/>
      <c r="G86" s="93">
        <f>'ENTREES &amp; SORTIES'!D90+'ENTREES &amp; SORTIES'!E90+'ENTREES &amp; SORTIES'!F90-'ENTREES &amp; SORTIES'!G90-'ENTREES &amp; SORTIES'!H90-'ENTREES &amp; SORTIES'!I90-'ENTREES &amp; SORTIES'!J90-'VENTES &amp; STOCK'!A86-'VENTES &amp; STOCK'!B86-'VENTES &amp; STOCK'!C86-'VENTES &amp; STOCK'!D86-'VENTES &amp; STOCK'!E86-'VENTES &amp; STOCK'!F86</f>
        <v>0</v>
      </c>
      <c r="H86" s="77"/>
      <c r="I86" s="77"/>
      <c r="J86" s="104"/>
    </row>
    <row r="87" spans="1:10" ht="16" hidden="1" thickBot="1" x14ac:dyDescent="0.25">
      <c r="A87" s="33"/>
      <c r="B87" s="33"/>
      <c r="C87" s="33"/>
      <c r="D87" s="33"/>
      <c r="E87" s="34"/>
      <c r="F87" s="33"/>
      <c r="G87" s="93">
        <f>'ENTREES &amp; SORTIES'!D91+'ENTREES &amp; SORTIES'!E91+'ENTREES &amp; SORTIES'!F91-'ENTREES &amp; SORTIES'!G91-'ENTREES &amp; SORTIES'!H91-'ENTREES &amp; SORTIES'!I91-'ENTREES &amp; SORTIES'!J91-'VENTES &amp; STOCK'!A87-'VENTES &amp; STOCK'!B87-'VENTES &amp; STOCK'!C87-'VENTES &amp; STOCK'!D87-'VENTES &amp; STOCK'!E87-'VENTES &amp; STOCK'!F87</f>
        <v>0</v>
      </c>
      <c r="H87" s="77"/>
      <c r="I87" s="77"/>
      <c r="J87" s="104"/>
    </row>
    <row r="88" spans="1:10" ht="16" hidden="1" thickBot="1" x14ac:dyDescent="0.25">
      <c r="A88" s="33"/>
      <c r="B88" s="33"/>
      <c r="C88" s="33"/>
      <c r="D88" s="33"/>
      <c r="E88" s="34"/>
      <c r="F88" s="33"/>
      <c r="G88" s="93">
        <f>'ENTREES &amp; SORTIES'!D92+'ENTREES &amp; SORTIES'!E92+'ENTREES &amp; SORTIES'!F92-'ENTREES &amp; SORTIES'!G92-'ENTREES &amp; SORTIES'!H92-'ENTREES &amp; SORTIES'!I92-'ENTREES &amp; SORTIES'!J92-'VENTES &amp; STOCK'!A88-'VENTES &amp; STOCK'!B88-'VENTES &amp; STOCK'!C88-'VENTES &amp; STOCK'!D88-'VENTES &amp; STOCK'!E88-'VENTES &amp; STOCK'!F88</f>
        <v>0</v>
      </c>
      <c r="H88" s="77"/>
      <c r="I88" s="77"/>
      <c r="J88" s="104"/>
    </row>
    <row r="89" spans="1:10" ht="16" hidden="1" thickBot="1" x14ac:dyDescent="0.25">
      <c r="A89" s="33"/>
      <c r="B89" s="33"/>
      <c r="C89" s="33"/>
      <c r="D89" s="33"/>
      <c r="E89" s="34"/>
      <c r="F89" s="33"/>
      <c r="G89" s="93">
        <f>'ENTREES &amp; SORTIES'!D93+'ENTREES &amp; SORTIES'!E93+'ENTREES &amp; SORTIES'!F93-'ENTREES &amp; SORTIES'!G93-'ENTREES &amp; SORTIES'!H93-'ENTREES &amp; SORTIES'!I93-'ENTREES &amp; SORTIES'!J93-'VENTES &amp; STOCK'!A89-'VENTES &amp; STOCK'!B89-'VENTES &amp; STOCK'!C89-'VENTES &amp; STOCK'!D89-'VENTES &amp; STOCK'!E89-'VENTES &amp; STOCK'!F89</f>
        <v>0</v>
      </c>
      <c r="H89" s="77"/>
      <c r="I89" s="77"/>
      <c r="J89" s="104"/>
    </row>
    <row r="90" spans="1:10" ht="16" hidden="1" thickBot="1" x14ac:dyDescent="0.25">
      <c r="A90" s="33"/>
      <c r="B90" s="33"/>
      <c r="C90" s="33"/>
      <c r="D90" s="33"/>
      <c r="E90" s="34"/>
      <c r="F90" s="33"/>
      <c r="G90" s="93">
        <f>'ENTREES &amp; SORTIES'!D94+'ENTREES &amp; SORTIES'!E94+'ENTREES &amp; SORTIES'!F94-'ENTREES &amp; SORTIES'!G94-'ENTREES &amp; SORTIES'!H94-'ENTREES &amp; SORTIES'!I94-'ENTREES &amp; SORTIES'!J94-'VENTES &amp; STOCK'!A90-'VENTES &amp; STOCK'!B90-'VENTES &amp; STOCK'!C90-'VENTES &amp; STOCK'!D90-'VENTES &amp; STOCK'!E90-'VENTES &amp; STOCK'!F90</f>
        <v>0</v>
      </c>
      <c r="H90" s="77"/>
      <c r="I90" s="77"/>
      <c r="J90" s="104"/>
    </row>
    <row r="91" spans="1:10" ht="16" hidden="1" thickBot="1" x14ac:dyDescent="0.25">
      <c r="A91" s="33"/>
      <c r="B91" s="33"/>
      <c r="C91" s="33"/>
      <c r="D91" s="33"/>
      <c r="E91" s="34"/>
      <c r="F91" s="33"/>
      <c r="G91" s="93">
        <f>'ENTREES &amp; SORTIES'!D95+'ENTREES &amp; SORTIES'!E95+'ENTREES &amp; SORTIES'!F95-'ENTREES &amp; SORTIES'!G95-'ENTREES &amp; SORTIES'!H95-'ENTREES &amp; SORTIES'!I95-'ENTREES &amp; SORTIES'!J95-'VENTES &amp; STOCK'!A91-'VENTES &amp; STOCK'!B91-'VENTES &amp; STOCK'!C91-'VENTES &amp; STOCK'!D91-'VENTES &amp; STOCK'!E91-'VENTES &amp; STOCK'!F91</f>
        <v>0</v>
      </c>
      <c r="H91" s="77"/>
      <c r="I91" s="77"/>
      <c r="J91" s="104"/>
    </row>
    <row r="92" spans="1:10" ht="16" hidden="1" thickBot="1" x14ac:dyDescent="0.25">
      <c r="A92" s="33"/>
      <c r="B92" s="33"/>
      <c r="C92" s="33"/>
      <c r="D92" s="33"/>
      <c r="E92" s="34"/>
      <c r="F92" s="33"/>
      <c r="G92" s="93">
        <f>'ENTREES &amp; SORTIES'!D96+'ENTREES &amp; SORTIES'!E96+'ENTREES &amp; SORTIES'!F96-'ENTREES &amp; SORTIES'!G96-'ENTREES &amp; SORTIES'!H96-'ENTREES &amp; SORTIES'!I96-'ENTREES &amp; SORTIES'!J96-'VENTES &amp; STOCK'!A92-'VENTES &amp; STOCK'!B92-'VENTES &amp; STOCK'!C92-'VENTES &amp; STOCK'!D92-'VENTES &amp; STOCK'!E92-'VENTES &amp; STOCK'!F92</f>
        <v>0</v>
      </c>
      <c r="H92" s="77"/>
      <c r="I92" s="77"/>
      <c r="J92" s="104"/>
    </row>
    <row r="93" spans="1:10" ht="16" hidden="1" thickBot="1" x14ac:dyDescent="0.25">
      <c r="A93" s="33"/>
      <c r="B93" s="33"/>
      <c r="C93" s="33"/>
      <c r="D93" s="33"/>
      <c r="E93" s="34"/>
      <c r="F93" s="33"/>
      <c r="G93" s="93">
        <f>'ENTREES &amp; SORTIES'!D97+'ENTREES &amp; SORTIES'!E97+'ENTREES &amp; SORTIES'!F97-'ENTREES &amp; SORTIES'!G97-'ENTREES &amp; SORTIES'!H97-'ENTREES &amp; SORTIES'!I97-'ENTREES &amp; SORTIES'!J97-'VENTES &amp; STOCK'!A93-'VENTES &amp; STOCK'!B93-'VENTES &amp; STOCK'!C93-'VENTES &amp; STOCK'!D93-'VENTES &amp; STOCK'!E93-'VENTES &amp; STOCK'!F93</f>
        <v>0</v>
      </c>
      <c r="H93" s="77"/>
      <c r="I93" s="77"/>
      <c r="J93" s="104"/>
    </row>
    <row r="94" spans="1:10" ht="16" hidden="1" thickBot="1" x14ac:dyDescent="0.25">
      <c r="A94" s="33"/>
      <c r="B94" s="33"/>
      <c r="C94" s="33"/>
      <c r="D94" s="33"/>
      <c r="E94" s="34"/>
      <c r="F94" s="33"/>
      <c r="G94" s="93">
        <f>'ENTREES &amp; SORTIES'!D98+'ENTREES &amp; SORTIES'!E98+'ENTREES &amp; SORTIES'!F98-'ENTREES &amp; SORTIES'!G98-'ENTREES &amp; SORTIES'!H98-'ENTREES &amp; SORTIES'!I98-'ENTREES &amp; SORTIES'!J98-'VENTES &amp; STOCK'!A94-'VENTES &amp; STOCK'!B94-'VENTES &amp; STOCK'!C94-'VENTES &amp; STOCK'!D94-'VENTES &amp; STOCK'!E94-'VENTES &amp; STOCK'!F94</f>
        <v>0</v>
      </c>
      <c r="H94" s="77"/>
      <c r="I94" s="77"/>
      <c r="J94" s="104"/>
    </row>
    <row r="95" spans="1:10" ht="16" hidden="1" thickBot="1" x14ac:dyDescent="0.25">
      <c r="A95" s="33"/>
      <c r="B95" s="33"/>
      <c r="C95" s="33"/>
      <c r="D95" s="33"/>
      <c r="E95" s="34"/>
      <c r="F95" s="33"/>
      <c r="G95" s="93">
        <f>'ENTREES &amp; SORTIES'!D99+'ENTREES &amp; SORTIES'!E99+'ENTREES &amp; SORTIES'!F99-'ENTREES &amp; SORTIES'!G99-'ENTREES &amp; SORTIES'!H99-'ENTREES &amp; SORTIES'!I99-'ENTREES &amp; SORTIES'!J99-'VENTES &amp; STOCK'!A95-'VENTES &amp; STOCK'!B95-'VENTES &amp; STOCK'!C95-'VENTES &amp; STOCK'!D95-'VENTES &amp; STOCK'!E95-'VENTES &amp; STOCK'!F95</f>
        <v>0</v>
      </c>
      <c r="H95" s="77"/>
      <c r="I95" s="77"/>
      <c r="J95" s="104"/>
    </row>
    <row r="96" spans="1:10" ht="16" hidden="1" thickBot="1" x14ac:dyDescent="0.25">
      <c r="A96" s="33"/>
      <c r="B96" s="33"/>
      <c r="C96" s="33"/>
      <c r="D96" s="33"/>
      <c r="E96" s="34"/>
      <c r="F96" s="33"/>
      <c r="G96" s="93">
        <f>'ENTREES &amp; SORTIES'!D100+'ENTREES &amp; SORTIES'!E100+'ENTREES &amp; SORTIES'!F100-'ENTREES &amp; SORTIES'!G100-'ENTREES &amp; SORTIES'!H100-'ENTREES &amp; SORTIES'!I100-'ENTREES &amp; SORTIES'!J100-'VENTES &amp; STOCK'!A96-'VENTES &amp; STOCK'!B96-'VENTES &amp; STOCK'!C96-'VENTES &amp; STOCK'!D96-'VENTES &amp; STOCK'!E96-'VENTES &amp; STOCK'!F96</f>
        <v>0</v>
      </c>
      <c r="H96" s="77"/>
      <c r="I96" s="77"/>
      <c r="J96" s="104"/>
    </row>
    <row r="97" spans="1:10" ht="16" hidden="1" thickBot="1" x14ac:dyDescent="0.25">
      <c r="A97" s="33"/>
      <c r="B97" s="33"/>
      <c r="C97" s="33"/>
      <c r="D97" s="33"/>
      <c r="E97" s="34"/>
      <c r="F97" s="33"/>
      <c r="G97" s="93">
        <f>'ENTREES &amp; SORTIES'!D101+'ENTREES &amp; SORTIES'!E101+'ENTREES &amp; SORTIES'!F101-'ENTREES &amp; SORTIES'!G101-'ENTREES &amp; SORTIES'!H101-'ENTREES &amp; SORTIES'!I101-'ENTREES &amp; SORTIES'!J101-'VENTES &amp; STOCK'!A97-'VENTES &amp; STOCK'!B97-'VENTES &amp; STOCK'!C97-'VENTES &amp; STOCK'!D97-'VENTES &amp; STOCK'!E97-'VENTES &amp; STOCK'!F97</f>
        <v>0</v>
      </c>
      <c r="H97" s="77"/>
      <c r="I97" s="77"/>
      <c r="J97" s="104"/>
    </row>
    <row r="98" spans="1:10" ht="16" hidden="1" thickBot="1" x14ac:dyDescent="0.25">
      <c r="A98" s="33"/>
      <c r="B98" s="33"/>
      <c r="C98" s="33"/>
      <c r="D98" s="33"/>
      <c r="E98" s="34"/>
      <c r="F98" s="33"/>
      <c r="G98" s="93">
        <f>'ENTREES &amp; SORTIES'!D102+'ENTREES &amp; SORTIES'!E102+'ENTREES &amp; SORTIES'!F102-'ENTREES &amp; SORTIES'!G102-'ENTREES &amp; SORTIES'!H102-'ENTREES &amp; SORTIES'!I102-'ENTREES &amp; SORTIES'!J102-'VENTES &amp; STOCK'!A98-'VENTES &amp; STOCK'!B98-'VENTES &amp; STOCK'!C98-'VENTES &amp; STOCK'!D98-'VENTES &amp; STOCK'!E98-'VENTES &amp; STOCK'!F98</f>
        <v>0</v>
      </c>
      <c r="H98" s="77"/>
      <c r="I98" s="77"/>
      <c r="J98" s="104"/>
    </row>
    <row r="99" spans="1:10" ht="16" hidden="1" thickBot="1" x14ac:dyDescent="0.25">
      <c r="A99" s="33"/>
      <c r="B99" s="33"/>
      <c r="C99" s="33"/>
      <c r="D99" s="33"/>
      <c r="E99" s="34"/>
      <c r="F99" s="33"/>
      <c r="G99" s="93">
        <f>'ENTREES &amp; SORTIES'!D103+'ENTREES &amp; SORTIES'!E103+'ENTREES &amp; SORTIES'!F103-'ENTREES &amp; SORTIES'!G103-'ENTREES &amp; SORTIES'!H103-'ENTREES &amp; SORTIES'!I103-'ENTREES &amp; SORTIES'!J103-'VENTES &amp; STOCK'!A99-'VENTES &amp; STOCK'!B99-'VENTES &amp; STOCK'!C99-'VENTES &amp; STOCK'!D99-'VENTES &amp; STOCK'!E99-'VENTES &amp; STOCK'!F99</f>
        <v>0</v>
      </c>
      <c r="H99" s="77"/>
      <c r="I99" s="77"/>
      <c r="J99" s="104"/>
    </row>
    <row r="100" spans="1:10" ht="16" hidden="1" thickBot="1" x14ac:dyDescent="0.25">
      <c r="A100" s="33"/>
      <c r="B100" s="33"/>
      <c r="C100" s="33"/>
      <c r="D100" s="33"/>
      <c r="E100" s="34"/>
      <c r="F100" s="33"/>
      <c r="G100" s="93">
        <f>'ENTREES &amp; SORTIES'!D104+'ENTREES &amp; SORTIES'!E104+'ENTREES &amp; SORTIES'!F104-'ENTREES &amp; SORTIES'!G104-'ENTREES &amp; SORTIES'!H104-'ENTREES &amp; SORTIES'!I104-'ENTREES &amp; SORTIES'!J104-'VENTES &amp; STOCK'!A100-'VENTES &amp; STOCK'!B100-'VENTES &amp; STOCK'!C100-'VENTES &amp; STOCK'!D100-'VENTES &amp; STOCK'!E100-'VENTES &amp; STOCK'!F100</f>
        <v>0</v>
      </c>
      <c r="H100" s="77"/>
      <c r="I100" s="77"/>
      <c r="J100" s="104"/>
    </row>
    <row r="101" spans="1:10" ht="16" hidden="1" thickBot="1" x14ac:dyDescent="0.25">
      <c r="A101" s="35"/>
      <c r="B101" s="35"/>
      <c r="C101" s="35"/>
      <c r="D101" s="35"/>
      <c r="E101" s="36"/>
      <c r="F101" s="35"/>
      <c r="G101" s="93">
        <f>'ENTREES &amp; SORTIES'!D105+'ENTREES &amp; SORTIES'!E105+'ENTREES &amp; SORTIES'!F105-'ENTREES &amp; SORTIES'!G105-'ENTREES &amp; SORTIES'!H105-'ENTREES &amp; SORTIES'!I105-'ENTREES &amp; SORTIES'!J105-'VENTES &amp; STOCK'!A101-'VENTES &amp; STOCK'!B101-'VENTES &amp; STOCK'!C101-'VENTES &amp; STOCK'!D101-'VENTES &amp; STOCK'!E101-'VENTES &amp; STOCK'!F101</f>
        <v>0</v>
      </c>
      <c r="H101" s="77"/>
      <c r="I101" s="77"/>
      <c r="J101" s="105"/>
    </row>
    <row r="102" spans="1:10" x14ac:dyDescent="0.2">
      <c r="A102" s="37">
        <f t="shared" ref="A102:G102" si="0">SUM(A14:A101)</f>
        <v>0</v>
      </c>
      <c r="B102" s="38">
        <f t="shared" si="0"/>
        <v>0</v>
      </c>
      <c r="C102" s="38">
        <f t="shared" si="0"/>
        <v>0</v>
      </c>
      <c r="D102" s="38">
        <f t="shared" si="0"/>
        <v>0</v>
      </c>
      <c r="E102" s="38">
        <f t="shared" si="0"/>
        <v>0</v>
      </c>
      <c r="F102" s="40">
        <f t="shared" si="0"/>
        <v>0</v>
      </c>
      <c r="G102" s="84">
        <f t="shared" si="0"/>
        <v>0</v>
      </c>
      <c r="H102" s="129" t="s">
        <v>12</v>
      </c>
      <c r="I102" s="130"/>
      <c r="J102" s="131"/>
    </row>
    <row r="103" spans="1:10" s="12" customFormat="1" ht="15.75" customHeight="1" thickBot="1" x14ac:dyDescent="0.2">
      <c r="A103" s="10" t="s">
        <v>19</v>
      </c>
      <c r="B103" s="18" t="s">
        <v>19</v>
      </c>
      <c r="C103" s="18" t="s">
        <v>14</v>
      </c>
      <c r="D103" s="18" t="s">
        <v>19</v>
      </c>
      <c r="E103" s="18" t="s">
        <v>19</v>
      </c>
      <c r="F103" s="21" t="s">
        <v>19</v>
      </c>
      <c r="G103" s="22" t="s">
        <v>14</v>
      </c>
      <c r="H103" s="132" t="s">
        <v>13</v>
      </c>
      <c r="I103" s="133"/>
      <c r="J103" s="134"/>
    </row>
    <row r="104" spans="1:10" ht="12" customHeight="1" x14ac:dyDescent="0.2"/>
    <row r="105" spans="1:10" ht="10.5" customHeight="1" x14ac:dyDescent="0.2">
      <c r="A105" s="25" t="s">
        <v>15</v>
      </c>
    </row>
    <row r="106" spans="1:10" ht="10.5" customHeight="1" x14ac:dyDescent="0.2">
      <c r="A106" s="25" t="s">
        <v>16</v>
      </c>
    </row>
  </sheetData>
  <mergeCells count="12">
    <mergeCell ref="H102:J102"/>
    <mergeCell ref="H103:J103"/>
    <mergeCell ref="A9:F9"/>
    <mergeCell ref="J9:J13"/>
    <mergeCell ref="I9:I13"/>
    <mergeCell ref="H9:H13"/>
    <mergeCell ref="A10:B10"/>
    <mergeCell ref="A11:B11"/>
    <mergeCell ref="C10:D10"/>
    <mergeCell ref="C11:D11"/>
    <mergeCell ref="G9:G12"/>
    <mergeCell ref="E10:F10"/>
  </mergeCells>
  <conditionalFormatting sqref="G102">
    <cfRule type="cellIs" dxfId="0" priority="1" operator="lessThan">
      <formula>0</formula>
    </cfRule>
  </conditionalFormatting>
  <pageMargins left="0.14000000000000001" right="0.14000000000000001" top="0.19685039370078741" bottom="0.15748031496062992" header="0.19685039370078741" footer="0.15748031496062992"/>
  <pageSetup paperSize="9" orientation="portrait" r:id="rId1"/>
  <ignoredErrors>
    <ignoredError sqref="E102:G102 A102 B102:D102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ENTREES &amp; SORTIES</vt:lpstr>
      <vt:lpstr>VENTES &amp; STOCK</vt:lpstr>
      <vt:lpstr>'ENTREES &amp; SORTIES'!Zone_d_impression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daniele.chanfreau</dc:creator>
  <cp:lastModifiedBy>Olivier GOUJON</cp:lastModifiedBy>
  <cp:lastPrinted>2026-04-16T08:13:37Z</cp:lastPrinted>
  <dcterms:created xsi:type="dcterms:W3CDTF">2015-07-21T10:02:23Z</dcterms:created>
  <dcterms:modified xsi:type="dcterms:W3CDTF">2026-10-05T06:23:06Z</dcterms:modified>
</cp:coreProperties>
</file>