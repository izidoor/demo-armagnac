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liviergoujon/Library/CloudStorage/SynologyDrive-DRIVE-BNIA/06-RELATIONS CONTRIBUTEURS/08-PLAN ROC/OBSERVATOIRE - GESTION DE LA DONNEE/PHASE 2 - APPEL OFFRE PLATEFORME/"/>
    </mc:Choice>
  </mc:AlternateContent>
  <xr:revisionPtr revIDLastSave="0" documentId="8_{0270387E-7A82-2547-8981-9DECE787346F}" xr6:coauthVersionLast="47" xr6:coauthVersionMax="47" xr10:uidLastSave="{00000000-0000-0000-0000-000000000000}"/>
  <bookViews>
    <workbookView xWindow="0" yWindow="600" windowWidth="35140" windowHeight="21000" tabRatio="831" activeTab="6" xr2:uid="{00000000-000D-0000-FFFF-FFFF00000000}"/>
  </bookViews>
  <sheets>
    <sheet name="RECAPITULATIF" sheetId="1" r:id="rId1"/>
    <sheet name="MOUVEMENTS ENTREE" sheetId="4" r:id="rId2"/>
    <sheet name="MVMTS SORTIES &amp; FABRICATIONS" sheetId="5" r:id="rId3"/>
    <sheet name="VENTES FRANCE" sheetId="6" r:id="rId4"/>
    <sheet name="VENTES EXPORT &amp; VINS VINES" sheetId="7" r:id="rId5"/>
    <sheet name="Feuil2" sheetId="2" r:id="rId6"/>
    <sheet name="Feuil3" sheetId="3" r:id="rId7"/>
  </sheets>
  <definedNames>
    <definedName name="Print_Titles" localSheetId="1">'MOUVEMENTS ENTREE'!$1:$8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H18" i="1"/>
  <c r="I18" i="1"/>
  <c r="G19" i="1"/>
  <c r="H19" i="1"/>
  <c r="I19" i="1"/>
  <c r="G20" i="1"/>
  <c r="H20" i="1"/>
  <c r="I20" i="1" s="1"/>
  <c r="G21" i="1"/>
  <c r="H21" i="1"/>
  <c r="I21" i="1" s="1"/>
  <c r="G22" i="1"/>
  <c r="H22" i="1"/>
  <c r="I22" i="1" s="1"/>
  <c r="G23" i="1"/>
  <c r="H23" i="1"/>
  <c r="I23" i="1"/>
  <c r="G24" i="1"/>
  <c r="H24" i="1"/>
  <c r="I24" i="1" s="1"/>
  <c r="G25" i="1"/>
  <c r="H25" i="1"/>
  <c r="I25" i="1" s="1"/>
  <c r="G26" i="1"/>
  <c r="H26" i="1"/>
  <c r="I26" i="1" s="1"/>
  <c r="G27" i="1"/>
  <c r="I27" i="1" s="1"/>
  <c r="H27" i="1"/>
  <c r="G28" i="1"/>
  <c r="H28" i="1"/>
  <c r="I28" i="1" s="1"/>
  <c r="G29" i="1"/>
  <c r="H29" i="1"/>
  <c r="I29" i="1" s="1"/>
  <c r="G30" i="1"/>
  <c r="H30" i="1"/>
  <c r="I30" i="1" s="1"/>
  <c r="G31" i="1"/>
  <c r="H31" i="1"/>
  <c r="I31" i="1" s="1"/>
  <c r="G32" i="1"/>
  <c r="H32" i="1"/>
  <c r="I32" i="1" s="1"/>
  <c r="G33" i="1"/>
  <c r="H33" i="1"/>
  <c r="I33" i="1" s="1"/>
  <c r="G34" i="1"/>
  <c r="H34" i="1"/>
  <c r="I34" i="1" s="1"/>
  <c r="G35" i="1"/>
  <c r="H35" i="1"/>
  <c r="I35" i="1" s="1"/>
  <c r="G36" i="1"/>
  <c r="H36" i="1"/>
  <c r="I36" i="1" s="1"/>
  <c r="G37" i="1"/>
  <c r="H37" i="1"/>
  <c r="I37" i="1" s="1"/>
  <c r="G38" i="1"/>
  <c r="H38" i="1"/>
  <c r="I38" i="1" s="1"/>
  <c r="G39" i="1"/>
  <c r="H39" i="1"/>
  <c r="I39" i="1" s="1"/>
  <c r="G40" i="1"/>
  <c r="H40" i="1"/>
  <c r="I40" i="1" s="1"/>
  <c r="G41" i="1"/>
  <c r="H41" i="1"/>
  <c r="I41" i="1" s="1"/>
  <c r="G42" i="1"/>
  <c r="H42" i="1"/>
  <c r="I42" i="1" s="1"/>
  <c r="G43" i="1"/>
  <c r="H43" i="1"/>
  <c r="I43" i="1" s="1"/>
  <c r="G44" i="1"/>
  <c r="H44" i="1"/>
  <c r="I44" i="1" s="1"/>
  <c r="G45" i="1"/>
  <c r="H45" i="1"/>
  <c r="I45" i="1" s="1"/>
  <c r="G46" i="1"/>
  <c r="H46" i="1"/>
  <c r="I46" i="1" s="1"/>
  <c r="G47" i="1"/>
  <c r="H47" i="1"/>
  <c r="I47" i="1" s="1"/>
  <c r="G48" i="1"/>
  <c r="H48" i="1"/>
  <c r="I48" i="1" s="1"/>
  <c r="G49" i="1"/>
  <c r="H49" i="1"/>
  <c r="I49" i="1" s="1"/>
  <c r="G50" i="1"/>
  <c r="H50" i="1"/>
  <c r="I50" i="1" s="1"/>
  <c r="G51" i="1"/>
  <c r="H51" i="1"/>
  <c r="I51" i="1" s="1"/>
  <c r="G52" i="1"/>
  <c r="H52" i="1"/>
  <c r="I52" i="1" s="1"/>
  <c r="G53" i="1"/>
  <c r="H53" i="1"/>
  <c r="I53" i="1" s="1"/>
  <c r="G54" i="1"/>
  <c r="H54" i="1"/>
  <c r="I54" i="1" s="1"/>
  <c r="G55" i="1"/>
  <c r="H55" i="1"/>
  <c r="I55" i="1" s="1"/>
  <c r="G56" i="1"/>
  <c r="H56" i="1"/>
  <c r="I56" i="1" s="1"/>
  <c r="G57" i="1"/>
  <c r="H57" i="1"/>
  <c r="I57" i="1" s="1"/>
  <c r="G58" i="1"/>
  <c r="H58" i="1"/>
  <c r="I58" i="1" s="1"/>
  <c r="G59" i="1"/>
  <c r="H59" i="1"/>
  <c r="I59" i="1" s="1"/>
  <c r="G60" i="1"/>
  <c r="H60" i="1"/>
  <c r="I60" i="1" s="1"/>
  <c r="G61" i="1"/>
  <c r="H61" i="1"/>
  <c r="I61" i="1" s="1"/>
  <c r="G62" i="1"/>
  <c r="H62" i="1"/>
  <c r="I62" i="1" s="1"/>
  <c r="G63" i="1"/>
  <c r="H63" i="1"/>
  <c r="I63" i="1" s="1"/>
  <c r="G64" i="1"/>
  <c r="H64" i="1"/>
  <c r="I64" i="1" s="1"/>
  <c r="G65" i="1"/>
  <c r="H65" i="1"/>
  <c r="I65" i="1" s="1"/>
  <c r="G66" i="1"/>
  <c r="H66" i="1"/>
  <c r="I66" i="1" s="1"/>
  <c r="G67" i="1"/>
  <c r="H67" i="1"/>
  <c r="I67" i="1" s="1"/>
  <c r="G68" i="1"/>
  <c r="H68" i="1"/>
  <c r="I68" i="1" s="1"/>
  <c r="G69" i="1"/>
  <c r="H69" i="1"/>
  <c r="I69" i="1" s="1"/>
  <c r="G70" i="1"/>
  <c r="H70" i="1"/>
  <c r="I70" i="1" s="1"/>
  <c r="G71" i="1"/>
  <c r="H71" i="1"/>
  <c r="I71" i="1" s="1"/>
  <c r="G72" i="1"/>
  <c r="H72" i="1"/>
  <c r="I72" i="1" s="1"/>
  <c r="G73" i="1"/>
  <c r="H73" i="1"/>
  <c r="I73" i="1" s="1"/>
  <c r="G74" i="1"/>
  <c r="I74" i="1" s="1"/>
  <c r="H74" i="1"/>
  <c r="G75" i="1"/>
  <c r="H75" i="1"/>
  <c r="I75" i="1" s="1"/>
  <c r="G76" i="1"/>
  <c r="H76" i="1"/>
  <c r="I76" i="1" s="1"/>
  <c r="G77" i="1"/>
  <c r="H77" i="1"/>
  <c r="I77" i="1" s="1"/>
  <c r="G78" i="1"/>
  <c r="H78" i="1"/>
  <c r="I78" i="1" s="1"/>
  <c r="G79" i="1"/>
  <c r="H79" i="1"/>
  <c r="I79" i="1" s="1"/>
  <c r="G80" i="1"/>
  <c r="I80" i="1" s="1"/>
  <c r="H80" i="1"/>
  <c r="G81" i="1"/>
  <c r="H81" i="1"/>
  <c r="I81" i="1" s="1"/>
  <c r="G82" i="1"/>
  <c r="I82" i="1" s="1"/>
  <c r="H82" i="1"/>
  <c r="G83" i="1"/>
  <c r="H83" i="1"/>
  <c r="I83" i="1" s="1"/>
  <c r="G84" i="1"/>
  <c r="H84" i="1"/>
  <c r="I84" i="1" s="1"/>
  <c r="G85" i="1"/>
  <c r="H85" i="1"/>
  <c r="I85" i="1" s="1"/>
  <c r="G86" i="1"/>
  <c r="H86" i="1"/>
  <c r="I86" i="1" s="1"/>
  <c r="G87" i="1"/>
  <c r="H87" i="1"/>
  <c r="I87" i="1" s="1"/>
  <c r="G88" i="1"/>
  <c r="I88" i="1" s="1"/>
  <c r="H88" i="1"/>
  <c r="G89" i="1"/>
  <c r="H89" i="1"/>
  <c r="I89" i="1" s="1"/>
  <c r="G90" i="1"/>
  <c r="I90" i="1" s="1"/>
  <c r="H90" i="1"/>
  <c r="G91" i="1"/>
  <c r="H91" i="1"/>
  <c r="I91" i="1" s="1"/>
  <c r="G92" i="1"/>
  <c r="H92" i="1"/>
  <c r="I92" i="1" s="1"/>
  <c r="G93" i="1"/>
  <c r="H93" i="1"/>
  <c r="I93" i="1" s="1"/>
  <c r="G94" i="1"/>
  <c r="H94" i="1"/>
  <c r="I94" i="1" s="1"/>
  <c r="G95" i="1"/>
  <c r="I95" i="1" s="1"/>
  <c r="H95" i="1"/>
  <c r="G96" i="1"/>
  <c r="H96" i="1"/>
  <c r="I96" i="1" s="1"/>
  <c r="G97" i="1"/>
  <c r="H97" i="1"/>
  <c r="I97" i="1" s="1"/>
  <c r="G98" i="1"/>
  <c r="H98" i="1"/>
  <c r="I98" i="1" s="1"/>
  <c r="G99" i="1"/>
  <c r="I99" i="1" s="1"/>
  <c r="H99" i="1"/>
  <c r="G100" i="1"/>
  <c r="I100" i="1" s="1"/>
  <c r="H100" i="1"/>
  <c r="G101" i="1"/>
  <c r="H101" i="1"/>
  <c r="I101" i="1" s="1"/>
  <c r="G102" i="1"/>
  <c r="H102" i="1"/>
  <c r="I102" i="1" s="1"/>
  <c r="G103" i="1"/>
  <c r="H103" i="1"/>
  <c r="I103" i="1" s="1"/>
  <c r="G104" i="1"/>
  <c r="I104" i="1" s="1"/>
  <c r="H104" i="1"/>
  <c r="G105" i="1"/>
  <c r="H105" i="1"/>
  <c r="I105" i="1" s="1"/>
  <c r="G106" i="1"/>
  <c r="H106" i="1"/>
  <c r="I106" i="1" s="1"/>
  <c r="G107" i="1"/>
  <c r="H107" i="1"/>
  <c r="I107" i="1" s="1"/>
  <c r="G108" i="1"/>
  <c r="H108" i="1"/>
  <c r="I108" i="1" s="1"/>
  <c r="G109" i="1"/>
  <c r="H109" i="1"/>
  <c r="I109" i="1" s="1"/>
  <c r="G110" i="1"/>
  <c r="H110" i="1"/>
  <c r="I110" i="1" s="1"/>
  <c r="G111" i="1"/>
  <c r="H111" i="1"/>
  <c r="I111" i="1" s="1"/>
  <c r="G112" i="1"/>
  <c r="H112" i="1"/>
  <c r="I112" i="1" s="1"/>
  <c r="G113" i="1"/>
  <c r="H113" i="1"/>
  <c r="I113" i="1" s="1"/>
  <c r="G114" i="1"/>
  <c r="H114" i="1"/>
  <c r="I114" i="1" s="1"/>
  <c r="G115" i="1"/>
  <c r="H115" i="1"/>
  <c r="I115" i="1" s="1"/>
  <c r="G116" i="1"/>
  <c r="H116" i="1"/>
  <c r="I116" i="1" s="1"/>
  <c r="G117" i="1"/>
  <c r="H117" i="1"/>
  <c r="I117" i="1" s="1"/>
  <c r="G118" i="1"/>
  <c r="H118" i="1"/>
  <c r="I118" i="1" s="1"/>
  <c r="G119" i="1"/>
  <c r="H119" i="1"/>
  <c r="I119" i="1" s="1"/>
  <c r="G120" i="1"/>
  <c r="H120" i="1"/>
  <c r="I120" i="1" s="1"/>
  <c r="G121" i="1"/>
  <c r="H121" i="1"/>
  <c r="I121" i="1" s="1"/>
  <c r="G122" i="1"/>
  <c r="I122" i="1" s="1"/>
  <c r="H122" i="1"/>
  <c r="G123" i="1"/>
  <c r="H123" i="1"/>
  <c r="I123" i="1" s="1"/>
  <c r="G124" i="1"/>
  <c r="H124" i="1"/>
  <c r="I124" i="1" s="1"/>
  <c r="G125" i="1"/>
  <c r="H125" i="1"/>
  <c r="I125" i="1" s="1"/>
  <c r="G126" i="1"/>
  <c r="H126" i="1"/>
  <c r="I126" i="1" s="1"/>
  <c r="G127" i="1"/>
  <c r="I127" i="1" s="1"/>
  <c r="H127" i="1"/>
  <c r="G128" i="1"/>
  <c r="H128" i="1"/>
  <c r="I128" i="1" s="1"/>
  <c r="G129" i="1"/>
  <c r="H129" i="1"/>
  <c r="I129" i="1" s="1"/>
  <c r="G130" i="1"/>
  <c r="H130" i="1"/>
  <c r="I130" i="1" s="1"/>
  <c r="G131" i="1"/>
  <c r="H131" i="1"/>
  <c r="I131" i="1" s="1"/>
  <c r="G132" i="1"/>
  <c r="H132" i="1"/>
  <c r="I132" i="1" s="1"/>
  <c r="G133" i="1"/>
  <c r="H133" i="1"/>
  <c r="I133" i="1" s="1"/>
  <c r="G134" i="1"/>
  <c r="H134" i="1"/>
  <c r="I134" i="1" s="1"/>
  <c r="G135" i="1"/>
  <c r="H135" i="1"/>
  <c r="I135" i="1" s="1"/>
  <c r="G136" i="1"/>
  <c r="H136" i="1"/>
  <c r="I136" i="1" s="1"/>
  <c r="G137" i="1"/>
  <c r="H137" i="1"/>
  <c r="I137" i="1" s="1"/>
  <c r="G138" i="1"/>
  <c r="H138" i="1"/>
  <c r="I138" i="1" s="1"/>
  <c r="G139" i="1"/>
  <c r="H139" i="1"/>
  <c r="I139" i="1" s="1"/>
  <c r="G140" i="1"/>
  <c r="H140" i="1"/>
  <c r="I140" i="1" s="1"/>
  <c r="G141" i="1"/>
  <c r="H141" i="1"/>
  <c r="I141" i="1" s="1"/>
  <c r="G142" i="1"/>
  <c r="H142" i="1"/>
  <c r="I142" i="1" s="1"/>
  <c r="G143" i="1"/>
  <c r="H143" i="1"/>
  <c r="I143" i="1"/>
  <c r="G144" i="1"/>
  <c r="H144" i="1"/>
  <c r="I144" i="1"/>
  <c r="G145" i="1"/>
  <c r="H145" i="1"/>
  <c r="I145" i="1"/>
  <c r="G146" i="1"/>
  <c r="H146" i="1"/>
  <c r="I146" i="1"/>
  <c r="G147" i="1"/>
  <c r="H147" i="1"/>
  <c r="I147" i="1"/>
  <c r="G148" i="1"/>
  <c r="H148" i="1"/>
  <c r="I148" i="1"/>
  <c r="G149" i="1"/>
  <c r="H149" i="1"/>
  <c r="I149" i="1"/>
  <c r="G150" i="1"/>
  <c r="H150" i="1"/>
  <c r="I150" i="1"/>
  <c r="G151" i="1"/>
  <c r="H151" i="1"/>
  <c r="I151" i="1"/>
  <c r="G152" i="1"/>
  <c r="H152" i="1"/>
  <c r="I152" i="1"/>
  <c r="G153" i="1"/>
  <c r="H153" i="1"/>
  <c r="I153" i="1"/>
  <c r="G154" i="1"/>
  <c r="H154" i="1"/>
  <c r="I154" i="1"/>
  <c r="G155" i="1"/>
  <c r="H155" i="1"/>
  <c r="I155" i="1"/>
  <c r="G156" i="1"/>
  <c r="H156" i="1"/>
  <c r="I156" i="1"/>
  <c r="G157" i="1"/>
  <c r="H157" i="1"/>
  <c r="I157" i="1"/>
  <c r="G158" i="1"/>
  <c r="H158" i="1"/>
  <c r="I158" i="1"/>
  <c r="G159" i="1"/>
  <c r="H159" i="1"/>
  <c r="I159" i="1"/>
  <c r="G160" i="1"/>
  <c r="H160" i="1"/>
  <c r="I160" i="1"/>
  <c r="G161" i="1"/>
  <c r="H161" i="1"/>
  <c r="I161" i="1"/>
  <c r="G162" i="1"/>
  <c r="H162" i="1"/>
  <c r="I162" i="1"/>
  <c r="G163" i="1"/>
  <c r="H163" i="1"/>
  <c r="I163" i="1"/>
  <c r="G164" i="1"/>
  <c r="H164" i="1"/>
  <c r="I164" i="1"/>
  <c r="G165" i="1"/>
  <c r="H165" i="1"/>
  <c r="I165" i="1"/>
  <c r="G166" i="1"/>
  <c r="H166" i="1"/>
  <c r="I166" i="1"/>
  <c r="G167" i="1"/>
  <c r="H167" i="1"/>
  <c r="I167" i="1"/>
  <c r="G168" i="1"/>
  <c r="H168" i="1"/>
  <c r="I168" i="1"/>
  <c r="G169" i="1"/>
  <c r="H169" i="1"/>
  <c r="I169" i="1"/>
  <c r="G170" i="1"/>
  <c r="H170" i="1"/>
  <c r="I170" i="1"/>
  <c r="G171" i="1"/>
  <c r="H171" i="1"/>
  <c r="I171" i="1"/>
  <c r="G172" i="1"/>
  <c r="H172" i="1"/>
  <c r="I172" i="1"/>
  <c r="G173" i="1"/>
  <c r="H173" i="1"/>
  <c r="I173" i="1"/>
  <c r="G174" i="1"/>
  <c r="H174" i="1"/>
  <c r="I174" i="1"/>
  <c r="G175" i="1"/>
  <c r="H175" i="1"/>
  <c r="I175" i="1"/>
  <c r="G176" i="1"/>
  <c r="H176" i="1"/>
  <c r="I176" i="1"/>
  <c r="G177" i="1"/>
  <c r="H177" i="1"/>
  <c r="I177" i="1"/>
  <c r="G178" i="1"/>
  <c r="H178" i="1"/>
  <c r="I178" i="1"/>
  <c r="G179" i="1"/>
  <c r="H179" i="1"/>
  <c r="I179" i="1"/>
  <c r="G180" i="1"/>
  <c r="H180" i="1"/>
  <c r="I180" i="1"/>
  <c r="G181" i="1"/>
  <c r="H181" i="1"/>
  <c r="I181" i="1"/>
  <c r="G182" i="1"/>
  <c r="H182" i="1"/>
  <c r="I182" i="1"/>
  <c r="G183" i="1"/>
  <c r="H183" i="1"/>
  <c r="I183" i="1"/>
  <c r="G184" i="1"/>
  <c r="H184" i="1"/>
  <c r="I184" i="1"/>
  <c r="G185" i="1"/>
  <c r="H185" i="1"/>
  <c r="I185" i="1"/>
  <c r="G186" i="1"/>
  <c r="H186" i="1"/>
  <c r="I186" i="1"/>
  <c r="G187" i="1"/>
  <c r="H187" i="1"/>
  <c r="I187" i="1"/>
  <c r="G188" i="1"/>
  <c r="H188" i="1"/>
  <c r="I188" i="1"/>
  <c r="G189" i="1"/>
  <c r="H189" i="1"/>
  <c r="I189" i="1"/>
  <c r="G190" i="1"/>
  <c r="H190" i="1"/>
  <c r="I190" i="1"/>
  <c r="G191" i="1"/>
  <c r="H191" i="1"/>
  <c r="I191" i="1"/>
  <c r="G192" i="1"/>
  <c r="H192" i="1"/>
  <c r="I192" i="1"/>
  <c r="G193" i="1"/>
  <c r="H193" i="1"/>
  <c r="I193" i="1"/>
  <c r="G194" i="1"/>
  <c r="H194" i="1"/>
  <c r="I194" i="1"/>
  <c r="G195" i="1"/>
  <c r="H195" i="1"/>
  <c r="I195" i="1"/>
  <c r="G196" i="1"/>
  <c r="H196" i="1"/>
  <c r="I196" i="1"/>
  <c r="G197" i="1"/>
  <c r="H197" i="1"/>
  <c r="I197" i="1" s="1"/>
  <c r="G198" i="1"/>
  <c r="I198" i="1" s="1"/>
  <c r="H198" i="1"/>
  <c r="G199" i="1"/>
  <c r="H199" i="1"/>
  <c r="I199" i="1" s="1"/>
  <c r="G200" i="1"/>
  <c r="H200" i="1"/>
  <c r="I200" i="1" s="1"/>
  <c r="G201" i="1"/>
  <c r="I201" i="1" s="1"/>
  <c r="H201" i="1"/>
  <c r="G202" i="1"/>
  <c r="H202" i="1"/>
  <c r="I202" i="1" s="1"/>
  <c r="G203" i="1"/>
  <c r="I203" i="1" s="1"/>
  <c r="H203" i="1"/>
  <c r="G204" i="1"/>
  <c r="H204" i="1"/>
  <c r="I204" i="1" s="1"/>
  <c r="G205" i="1"/>
  <c r="H205" i="1"/>
  <c r="I205" i="1" s="1"/>
  <c r="G206" i="1"/>
  <c r="H206" i="1"/>
  <c r="I206" i="1" s="1"/>
  <c r="G207" i="1"/>
  <c r="I207" i="1" s="1"/>
  <c r="H207" i="1"/>
  <c r="G208" i="1"/>
  <c r="I208" i="1" s="1"/>
  <c r="H208" i="1"/>
  <c r="G209" i="1"/>
  <c r="I209" i="1" s="1"/>
  <c r="H209" i="1"/>
  <c r="G210" i="1"/>
  <c r="H210" i="1"/>
  <c r="I210" i="1" s="1"/>
  <c r="G211" i="1"/>
  <c r="I211" i="1" s="1"/>
  <c r="H211" i="1"/>
  <c r="G212" i="1"/>
  <c r="I212" i="1" s="1"/>
  <c r="H212" i="1"/>
  <c r="G213" i="1"/>
  <c r="I213" i="1" s="1"/>
  <c r="H213" i="1"/>
  <c r="G214" i="1"/>
  <c r="H214" i="1"/>
  <c r="I214" i="1" s="1"/>
  <c r="G215" i="1"/>
  <c r="I215" i="1" s="1"/>
  <c r="H215" i="1"/>
  <c r="G216" i="1"/>
  <c r="H216" i="1"/>
  <c r="I216" i="1" s="1"/>
  <c r="G217" i="1"/>
  <c r="I217" i="1" s="1"/>
  <c r="H217" i="1"/>
  <c r="G218" i="1"/>
  <c r="I218" i="1" s="1"/>
  <c r="H218" i="1"/>
  <c r="G219" i="1"/>
  <c r="H219" i="1"/>
  <c r="I219" i="1" s="1"/>
  <c r="G220" i="1"/>
  <c r="H220" i="1"/>
  <c r="I220" i="1" s="1"/>
  <c r="G221" i="1"/>
  <c r="H221" i="1"/>
  <c r="I221" i="1" s="1"/>
  <c r="G222" i="1"/>
  <c r="I222" i="1" s="1"/>
  <c r="H222" i="1"/>
  <c r="G223" i="1"/>
  <c r="I223" i="1" s="1"/>
  <c r="H223" i="1"/>
  <c r="G224" i="1"/>
  <c r="I224" i="1" s="1"/>
  <c r="H224" i="1"/>
  <c r="G225" i="1"/>
  <c r="I225" i="1" s="1"/>
  <c r="H225" i="1"/>
  <c r="G226" i="1"/>
  <c r="H226" i="1"/>
  <c r="I226" i="1" s="1"/>
  <c r="G227" i="1"/>
  <c r="I227" i="1" s="1"/>
  <c r="H227" i="1"/>
  <c r="G228" i="1"/>
  <c r="I228" i="1" s="1"/>
  <c r="H228" i="1"/>
  <c r="G229" i="1"/>
  <c r="I229" i="1" s="1"/>
  <c r="H229" i="1"/>
  <c r="G230" i="1"/>
  <c r="H230" i="1"/>
  <c r="I230" i="1" s="1"/>
  <c r="G231" i="1"/>
  <c r="H231" i="1"/>
  <c r="I231" i="1" s="1"/>
  <c r="G232" i="1"/>
  <c r="H232" i="1"/>
  <c r="I232" i="1" s="1"/>
  <c r="G233" i="1"/>
  <c r="I233" i="1" s="1"/>
  <c r="H233" i="1"/>
  <c r="G234" i="1"/>
  <c r="H234" i="1"/>
  <c r="I234" i="1" s="1"/>
  <c r="G235" i="1"/>
  <c r="I235" i="1" s="1"/>
  <c r="H235" i="1"/>
  <c r="G236" i="1"/>
  <c r="H236" i="1"/>
  <c r="I236" i="1" s="1"/>
  <c r="G237" i="1"/>
  <c r="H237" i="1"/>
  <c r="I237" i="1" s="1"/>
  <c r="G238" i="1"/>
  <c r="I238" i="1" s="1"/>
  <c r="H238" i="1"/>
  <c r="G239" i="1"/>
  <c r="I239" i="1" s="1"/>
  <c r="H239" i="1"/>
  <c r="G240" i="1"/>
  <c r="H240" i="1"/>
  <c r="I240" i="1" s="1"/>
  <c r="G241" i="1"/>
  <c r="H241" i="1"/>
  <c r="I241" i="1" s="1"/>
  <c r="G242" i="1"/>
  <c r="H242" i="1"/>
  <c r="I242" i="1" s="1"/>
  <c r="G243" i="1"/>
  <c r="H243" i="1"/>
  <c r="I243" i="1" s="1"/>
  <c r="G244" i="1"/>
  <c r="H244" i="1"/>
  <c r="I244" i="1" s="1"/>
  <c r="G245" i="1"/>
  <c r="I245" i="1" s="1"/>
  <c r="H245" i="1"/>
  <c r="G246" i="1"/>
  <c r="H246" i="1"/>
  <c r="I246" i="1" s="1"/>
  <c r="G247" i="1"/>
  <c r="H247" i="1"/>
  <c r="I247" i="1" s="1"/>
  <c r="G248" i="1"/>
  <c r="I248" i="1" s="1"/>
  <c r="H248" i="1"/>
  <c r="G249" i="1"/>
  <c r="H249" i="1"/>
  <c r="I249" i="1" s="1"/>
  <c r="G250" i="1"/>
  <c r="I250" i="1" s="1"/>
  <c r="H250" i="1"/>
  <c r="G251" i="1"/>
  <c r="I251" i="1" s="1"/>
  <c r="H251" i="1"/>
  <c r="G252" i="1"/>
  <c r="I252" i="1" s="1"/>
  <c r="H252" i="1"/>
  <c r="G253" i="1"/>
  <c r="I253" i="1" s="1"/>
  <c r="H253" i="1"/>
  <c r="G254" i="1"/>
  <c r="H254" i="1"/>
  <c r="I254" i="1" s="1"/>
  <c r="G255" i="1"/>
  <c r="H255" i="1"/>
  <c r="I255" i="1" s="1"/>
  <c r="G256" i="1"/>
  <c r="H256" i="1"/>
  <c r="I256" i="1" s="1"/>
  <c r="G257" i="1"/>
  <c r="I257" i="1" s="1"/>
  <c r="H257" i="1"/>
  <c r="G258" i="1"/>
  <c r="I258" i="1" s="1"/>
  <c r="H258" i="1"/>
  <c r="G259" i="1"/>
  <c r="I259" i="1" s="1"/>
  <c r="H259" i="1"/>
  <c r="G260" i="1"/>
  <c r="I260" i="1" s="1"/>
  <c r="H260" i="1"/>
  <c r="G261" i="1"/>
  <c r="I261" i="1" s="1"/>
  <c r="H261" i="1"/>
  <c r="G262" i="1"/>
  <c r="I262" i="1" s="1"/>
  <c r="H262" i="1"/>
  <c r="G263" i="1"/>
  <c r="H263" i="1"/>
  <c r="I263" i="1" s="1"/>
  <c r="G264" i="1"/>
  <c r="I264" i="1" s="1"/>
  <c r="H264" i="1"/>
  <c r="G265" i="1"/>
  <c r="I265" i="1" s="1"/>
  <c r="H265" i="1"/>
  <c r="G266" i="1"/>
  <c r="I266" i="1" s="1"/>
  <c r="H266" i="1"/>
  <c r="G267" i="1"/>
  <c r="I267" i="1" s="1"/>
  <c r="H267" i="1"/>
  <c r="A9" i="7"/>
  <c r="B9" i="7"/>
  <c r="C9" i="7"/>
  <c r="A10" i="7"/>
  <c r="B10" i="7"/>
  <c r="C10" i="7"/>
  <c r="A11" i="7"/>
  <c r="B11" i="7"/>
  <c r="C11" i="7"/>
  <c r="A12" i="7"/>
  <c r="B12" i="7"/>
  <c r="C12" i="7"/>
  <c r="A13" i="7"/>
  <c r="B13" i="7"/>
  <c r="C13" i="7"/>
  <c r="A14" i="7"/>
  <c r="B14" i="7"/>
  <c r="C14" i="7"/>
  <c r="A15" i="7"/>
  <c r="B15" i="7"/>
  <c r="C15" i="7"/>
  <c r="A16" i="7"/>
  <c r="B16" i="7"/>
  <c r="C16" i="7"/>
  <c r="A17" i="7"/>
  <c r="B17" i="7"/>
  <c r="C17" i="7"/>
  <c r="A18" i="7"/>
  <c r="B18" i="7"/>
  <c r="C18" i="7"/>
  <c r="A19" i="7"/>
  <c r="B19" i="7"/>
  <c r="C19" i="7"/>
  <c r="A20" i="7"/>
  <c r="B20" i="7"/>
  <c r="C20" i="7"/>
  <c r="A21" i="7"/>
  <c r="B21" i="7"/>
  <c r="C21" i="7"/>
  <c r="A22" i="7"/>
  <c r="B22" i="7"/>
  <c r="C22" i="7"/>
  <c r="A23" i="7"/>
  <c r="B23" i="7"/>
  <c r="C23" i="7"/>
  <c r="A24" i="7"/>
  <c r="B24" i="7"/>
  <c r="C24" i="7"/>
  <c r="A25" i="7"/>
  <c r="B25" i="7"/>
  <c r="C25" i="7"/>
  <c r="A26" i="7"/>
  <c r="B26" i="7"/>
  <c r="C26" i="7"/>
  <c r="A27" i="7"/>
  <c r="B27" i="7"/>
  <c r="C27" i="7"/>
  <c r="A28" i="7"/>
  <c r="B28" i="7"/>
  <c r="C28" i="7"/>
  <c r="A29" i="7"/>
  <c r="B29" i="7"/>
  <c r="C29" i="7"/>
  <c r="A30" i="7"/>
  <c r="B30" i="7"/>
  <c r="C30" i="7"/>
  <c r="A31" i="7"/>
  <c r="B31" i="7"/>
  <c r="C31" i="7"/>
  <c r="A32" i="7"/>
  <c r="B32" i="7"/>
  <c r="C32" i="7"/>
  <c r="A33" i="7"/>
  <c r="B33" i="7"/>
  <c r="C33" i="7"/>
  <c r="A34" i="7"/>
  <c r="B34" i="7"/>
  <c r="C34" i="7"/>
  <c r="A35" i="7"/>
  <c r="B35" i="7"/>
  <c r="C35" i="7"/>
  <c r="A36" i="7"/>
  <c r="B36" i="7"/>
  <c r="C36" i="7"/>
  <c r="A37" i="7"/>
  <c r="B37" i="7"/>
  <c r="C37" i="7"/>
  <c r="A38" i="7"/>
  <c r="B38" i="7"/>
  <c r="C38" i="7"/>
  <c r="A39" i="7"/>
  <c r="B39" i="7"/>
  <c r="C39" i="7"/>
  <c r="A40" i="7"/>
  <c r="B40" i="7"/>
  <c r="C40" i="7"/>
  <c r="A41" i="7"/>
  <c r="B41" i="7"/>
  <c r="C41" i="7"/>
  <c r="A42" i="7"/>
  <c r="B42" i="7"/>
  <c r="C42" i="7"/>
  <c r="A43" i="7"/>
  <c r="B43" i="7"/>
  <c r="C43" i="7"/>
  <c r="A44" i="7"/>
  <c r="B44" i="7"/>
  <c r="C44" i="7"/>
  <c r="A45" i="7"/>
  <c r="B45" i="7"/>
  <c r="C45" i="7"/>
  <c r="A46" i="7"/>
  <c r="B46" i="7"/>
  <c r="C46" i="7"/>
  <c r="A47" i="7"/>
  <c r="B47" i="7"/>
  <c r="C47" i="7"/>
  <c r="A48" i="7"/>
  <c r="B48" i="7"/>
  <c r="C48" i="7"/>
  <c r="A49" i="7"/>
  <c r="B49" i="7"/>
  <c r="C49" i="7"/>
  <c r="A50" i="7"/>
  <c r="B50" i="7"/>
  <c r="C50" i="7"/>
  <c r="A51" i="7"/>
  <c r="B51" i="7"/>
  <c r="C51" i="7"/>
  <c r="A52" i="7"/>
  <c r="B52" i="7"/>
  <c r="C52" i="7"/>
  <c r="A53" i="7"/>
  <c r="B53" i="7"/>
  <c r="C53" i="7"/>
  <c r="A54" i="7"/>
  <c r="B54" i="7"/>
  <c r="C54" i="7"/>
  <c r="A55" i="7"/>
  <c r="B55" i="7"/>
  <c r="C55" i="7"/>
  <c r="A56" i="7"/>
  <c r="B56" i="7"/>
  <c r="C56" i="7"/>
  <c r="A57" i="7"/>
  <c r="B57" i="7"/>
  <c r="C57" i="7"/>
  <c r="A58" i="7"/>
  <c r="B58" i="7"/>
  <c r="C58" i="7"/>
  <c r="A59" i="7"/>
  <c r="B59" i="7"/>
  <c r="C59" i="7"/>
  <c r="A60" i="7"/>
  <c r="B60" i="7"/>
  <c r="C60" i="7"/>
  <c r="A61" i="7"/>
  <c r="B61" i="7"/>
  <c r="C61" i="7"/>
  <c r="A62" i="7"/>
  <c r="B62" i="7"/>
  <c r="C62" i="7"/>
  <c r="A63" i="7"/>
  <c r="B63" i="7"/>
  <c r="C63" i="7"/>
  <c r="A64" i="7"/>
  <c r="B64" i="7"/>
  <c r="C64" i="7"/>
  <c r="A65" i="7"/>
  <c r="B65" i="7"/>
  <c r="C65" i="7"/>
  <c r="A66" i="7"/>
  <c r="B66" i="7"/>
  <c r="C66" i="7"/>
  <c r="A67" i="7"/>
  <c r="B67" i="7"/>
  <c r="C67" i="7"/>
  <c r="A68" i="7"/>
  <c r="B68" i="7"/>
  <c r="C68" i="7"/>
  <c r="A69" i="7"/>
  <c r="B69" i="7"/>
  <c r="C69" i="7"/>
  <c r="A70" i="7"/>
  <c r="B70" i="7"/>
  <c r="C70" i="7"/>
  <c r="A71" i="7"/>
  <c r="B71" i="7"/>
  <c r="C71" i="7"/>
  <c r="A72" i="7"/>
  <c r="B72" i="7"/>
  <c r="C72" i="7"/>
  <c r="A73" i="7"/>
  <c r="B73" i="7"/>
  <c r="C73" i="7"/>
  <c r="A74" i="7"/>
  <c r="B74" i="7"/>
  <c r="C74" i="7"/>
  <c r="A75" i="7"/>
  <c r="B75" i="7"/>
  <c r="C75" i="7"/>
  <c r="A76" i="7"/>
  <c r="B76" i="7"/>
  <c r="C76" i="7"/>
  <c r="A77" i="7"/>
  <c r="B77" i="7"/>
  <c r="C77" i="7"/>
  <c r="A78" i="7"/>
  <c r="B78" i="7"/>
  <c r="C78" i="7"/>
  <c r="A79" i="7"/>
  <c r="B79" i="7"/>
  <c r="C79" i="7"/>
  <c r="A80" i="7"/>
  <c r="B80" i="7"/>
  <c r="C80" i="7"/>
  <c r="A81" i="7"/>
  <c r="B81" i="7"/>
  <c r="C81" i="7"/>
  <c r="A82" i="7"/>
  <c r="B82" i="7"/>
  <c r="C82" i="7"/>
  <c r="A83" i="7"/>
  <c r="B83" i="7"/>
  <c r="C83" i="7"/>
  <c r="A84" i="7"/>
  <c r="B84" i="7"/>
  <c r="C84" i="7"/>
  <c r="A85" i="7"/>
  <c r="B85" i="7"/>
  <c r="C85" i="7"/>
  <c r="A86" i="7"/>
  <c r="B86" i="7"/>
  <c r="C86" i="7"/>
  <c r="A87" i="7"/>
  <c r="B87" i="7"/>
  <c r="C87" i="7"/>
  <c r="A88" i="7"/>
  <c r="B88" i="7"/>
  <c r="C88" i="7"/>
  <c r="A89" i="7"/>
  <c r="B89" i="7"/>
  <c r="C89" i="7"/>
  <c r="A90" i="7"/>
  <c r="B90" i="7"/>
  <c r="C90" i="7"/>
  <c r="A91" i="7"/>
  <c r="B91" i="7"/>
  <c r="C91" i="7"/>
  <c r="A92" i="7"/>
  <c r="B92" i="7"/>
  <c r="C92" i="7"/>
  <c r="A93" i="7"/>
  <c r="B93" i="7"/>
  <c r="C93" i="7"/>
  <c r="A94" i="7"/>
  <c r="B94" i="7"/>
  <c r="C94" i="7"/>
  <c r="A95" i="7"/>
  <c r="B95" i="7"/>
  <c r="C95" i="7"/>
  <c r="A96" i="7"/>
  <c r="B96" i="7"/>
  <c r="C96" i="7"/>
  <c r="A97" i="7"/>
  <c r="B97" i="7"/>
  <c r="C97" i="7"/>
  <c r="A98" i="7"/>
  <c r="B98" i="7"/>
  <c r="C98" i="7"/>
  <c r="A99" i="7"/>
  <c r="B99" i="7"/>
  <c r="C99" i="7"/>
  <c r="A100" i="7"/>
  <c r="B100" i="7"/>
  <c r="C100" i="7"/>
  <c r="A101" i="7"/>
  <c r="B101" i="7"/>
  <c r="C101" i="7"/>
  <c r="A102" i="7"/>
  <c r="B102" i="7"/>
  <c r="C102" i="7"/>
  <c r="A103" i="7"/>
  <c r="B103" i="7"/>
  <c r="C103" i="7"/>
  <c r="A104" i="7"/>
  <c r="B104" i="7"/>
  <c r="C104" i="7"/>
  <c r="A105" i="7"/>
  <c r="B105" i="7"/>
  <c r="C105" i="7"/>
  <c r="A106" i="7"/>
  <c r="B106" i="7"/>
  <c r="C106" i="7"/>
  <c r="A107" i="7"/>
  <c r="B107" i="7"/>
  <c r="C107" i="7"/>
  <c r="A108" i="7"/>
  <c r="B108" i="7"/>
  <c r="C108" i="7"/>
  <c r="A109" i="7"/>
  <c r="B109" i="7"/>
  <c r="C109" i="7"/>
  <c r="A110" i="7"/>
  <c r="B110" i="7"/>
  <c r="C110" i="7"/>
  <c r="A111" i="7"/>
  <c r="B111" i="7"/>
  <c r="C111" i="7"/>
  <c r="A112" i="7"/>
  <c r="B112" i="7"/>
  <c r="C112" i="7"/>
  <c r="A113" i="7"/>
  <c r="B113" i="7"/>
  <c r="C113" i="7"/>
  <c r="A114" i="7"/>
  <c r="B114" i="7"/>
  <c r="C114" i="7"/>
  <c r="A115" i="7"/>
  <c r="B115" i="7"/>
  <c r="C115" i="7"/>
  <c r="A116" i="7"/>
  <c r="B116" i="7"/>
  <c r="C116" i="7"/>
  <c r="A117" i="7"/>
  <c r="B117" i="7"/>
  <c r="C117" i="7"/>
  <c r="A118" i="7"/>
  <c r="B118" i="7"/>
  <c r="C118" i="7"/>
  <c r="A119" i="7"/>
  <c r="B119" i="7"/>
  <c r="C119" i="7"/>
  <c r="A120" i="7"/>
  <c r="B120" i="7"/>
  <c r="C120" i="7"/>
  <c r="A121" i="7"/>
  <c r="B121" i="7"/>
  <c r="C121" i="7"/>
  <c r="A122" i="7"/>
  <c r="B122" i="7"/>
  <c r="C122" i="7"/>
  <c r="A123" i="7"/>
  <c r="B123" i="7"/>
  <c r="C123" i="7"/>
  <c r="A124" i="7"/>
  <c r="B124" i="7"/>
  <c r="C124" i="7"/>
  <c r="A125" i="7"/>
  <c r="B125" i="7"/>
  <c r="C125" i="7"/>
  <c r="A126" i="7"/>
  <c r="B126" i="7"/>
  <c r="C126" i="7"/>
  <c r="A127" i="7"/>
  <c r="B127" i="7"/>
  <c r="C127" i="7"/>
  <c r="A128" i="7"/>
  <c r="B128" i="7"/>
  <c r="C128" i="7"/>
  <c r="A129" i="7"/>
  <c r="B129" i="7"/>
  <c r="C129" i="7"/>
  <c r="A130" i="7"/>
  <c r="B130" i="7"/>
  <c r="C130" i="7"/>
  <c r="A131" i="7"/>
  <c r="B131" i="7"/>
  <c r="C131" i="7"/>
  <c r="A132" i="7"/>
  <c r="B132" i="7"/>
  <c r="C132" i="7"/>
  <c r="A133" i="7"/>
  <c r="B133" i="7"/>
  <c r="C133" i="7"/>
  <c r="A134" i="7"/>
  <c r="B134" i="7"/>
  <c r="C134" i="7"/>
  <c r="A135" i="7"/>
  <c r="B135" i="7"/>
  <c r="C135" i="7"/>
  <c r="A136" i="7"/>
  <c r="B136" i="7"/>
  <c r="C136" i="7"/>
  <c r="A137" i="7"/>
  <c r="B137" i="7"/>
  <c r="C137" i="7"/>
  <c r="A138" i="7"/>
  <c r="B138" i="7"/>
  <c r="C138" i="7"/>
  <c r="A139" i="7"/>
  <c r="B139" i="7"/>
  <c r="C139" i="7"/>
  <c r="A140" i="7"/>
  <c r="B140" i="7"/>
  <c r="C140" i="7"/>
  <c r="A141" i="7"/>
  <c r="B141" i="7"/>
  <c r="C141" i="7"/>
  <c r="A142" i="7"/>
  <c r="B142" i="7"/>
  <c r="C142" i="7"/>
  <c r="A143" i="7"/>
  <c r="B143" i="7"/>
  <c r="C143" i="7"/>
  <c r="A144" i="7"/>
  <c r="B144" i="7"/>
  <c r="C144" i="7"/>
  <c r="A145" i="7"/>
  <c r="B145" i="7"/>
  <c r="C145" i="7"/>
  <c r="A146" i="7"/>
  <c r="B146" i="7"/>
  <c r="C146" i="7"/>
  <c r="A147" i="7"/>
  <c r="B147" i="7"/>
  <c r="C147" i="7"/>
  <c r="A148" i="7"/>
  <c r="B148" i="7"/>
  <c r="C148" i="7"/>
  <c r="A149" i="7"/>
  <c r="B149" i="7"/>
  <c r="C149" i="7"/>
  <c r="A150" i="7"/>
  <c r="B150" i="7"/>
  <c r="C150" i="7"/>
  <c r="A151" i="7"/>
  <c r="B151" i="7"/>
  <c r="C151" i="7"/>
  <c r="A152" i="7"/>
  <c r="B152" i="7"/>
  <c r="C152" i="7"/>
  <c r="A153" i="7"/>
  <c r="B153" i="7"/>
  <c r="C153" i="7"/>
  <c r="A154" i="7"/>
  <c r="B154" i="7"/>
  <c r="C154" i="7"/>
  <c r="A155" i="7"/>
  <c r="B155" i="7"/>
  <c r="C155" i="7"/>
  <c r="A156" i="7"/>
  <c r="B156" i="7"/>
  <c r="C156" i="7"/>
  <c r="A157" i="7"/>
  <c r="B157" i="7"/>
  <c r="C157" i="7"/>
  <c r="A158" i="7"/>
  <c r="B158" i="7"/>
  <c r="C158" i="7"/>
  <c r="A159" i="7"/>
  <c r="B159" i="7"/>
  <c r="C159" i="7"/>
  <c r="A160" i="7"/>
  <c r="B160" i="7"/>
  <c r="C160" i="7"/>
  <c r="A161" i="7"/>
  <c r="B161" i="7"/>
  <c r="C161" i="7"/>
  <c r="A162" i="7"/>
  <c r="B162" i="7"/>
  <c r="C162" i="7"/>
  <c r="A163" i="7"/>
  <c r="B163" i="7"/>
  <c r="C163" i="7"/>
  <c r="A164" i="7"/>
  <c r="B164" i="7"/>
  <c r="C164" i="7"/>
  <c r="A165" i="7"/>
  <c r="B165" i="7"/>
  <c r="C165" i="7"/>
  <c r="A166" i="7"/>
  <c r="B166" i="7"/>
  <c r="C166" i="7"/>
  <c r="A167" i="7"/>
  <c r="B167" i="7"/>
  <c r="C167" i="7"/>
  <c r="A168" i="7"/>
  <c r="B168" i="7"/>
  <c r="C168" i="7"/>
  <c r="A169" i="7"/>
  <c r="B169" i="7"/>
  <c r="C169" i="7"/>
  <c r="A170" i="7"/>
  <c r="B170" i="7"/>
  <c r="C170" i="7"/>
  <c r="A171" i="7"/>
  <c r="B171" i="7"/>
  <c r="C171" i="7"/>
  <c r="A172" i="7"/>
  <c r="B172" i="7"/>
  <c r="C172" i="7"/>
  <c r="A173" i="7"/>
  <c r="B173" i="7"/>
  <c r="C173" i="7"/>
  <c r="A174" i="7"/>
  <c r="B174" i="7"/>
  <c r="C174" i="7"/>
  <c r="A175" i="7"/>
  <c r="B175" i="7"/>
  <c r="C175" i="7"/>
  <c r="A176" i="7"/>
  <c r="B176" i="7"/>
  <c r="C176" i="7"/>
  <c r="A177" i="7"/>
  <c r="B177" i="7"/>
  <c r="C177" i="7"/>
  <c r="A178" i="7"/>
  <c r="B178" i="7"/>
  <c r="C178" i="7"/>
  <c r="A179" i="7"/>
  <c r="B179" i="7"/>
  <c r="C179" i="7"/>
  <c r="A180" i="7"/>
  <c r="B180" i="7"/>
  <c r="C180" i="7"/>
  <c r="A181" i="7"/>
  <c r="B181" i="7"/>
  <c r="C181" i="7"/>
  <c r="A182" i="7"/>
  <c r="B182" i="7"/>
  <c r="C182" i="7"/>
  <c r="A183" i="7"/>
  <c r="B183" i="7"/>
  <c r="C183" i="7"/>
  <c r="A184" i="7"/>
  <c r="B184" i="7"/>
  <c r="C184" i="7"/>
  <c r="A185" i="7"/>
  <c r="B185" i="7"/>
  <c r="C185" i="7"/>
  <c r="A186" i="7"/>
  <c r="B186" i="7"/>
  <c r="C186" i="7"/>
  <c r="A187" i="7"/>
  <c r="B187" i="7"/>
  <c r="C187" i="7"/>
  <c r="A188" i="7"/>
  <c r="B188" i="7"/>
  <c r="C188" i="7"/>
  <c r="A189" i="7"/>
  <c r="B189" i="7"/>
  <c r="C189" i="7"/>
  <c r="A190" i="7"/>
  <c r="B190" i="7"/>
  <c r="C190" i="7"/>
  <c r="A191" i="7"/>
  <c r="B191" i="7"/>
  <c r="C191" i="7"/>
  <c r="A192" i="7"/>
  <c r="B192" i="7"/>
  <c r="C192" i="7"/>
  <c r="A193" i="7"/>
  <c r="B193" i="7"/>
  <c r="C193" i="7"/>
  <c r="A194" i="7"/>
  <c r="B194" i="7"/>
  <c r="C194" i="7"/>
  <c r="A195" i="7"/>
  <c r="B195" i="7"/>
  <c r="C195" i="7"/>
  <c r="A196" i="7"/>
  <c r="B196" i="7"/>
  <c r="C196" i="7"/>
  <c r="A197" i="7"/>
  <c r="B197" i="7"/>
  <c r="C197" i="7"/>
  <c r="A198" i="7"/>
  <c r="B198" i="7"/>
  <c r="C198" i="7"/>
  <c r="A199" i="7"/>
  <c r="B199" i="7"/>
  <c r="C199" i="7"/>
  <c r="A200" i="7"/>
  <c r="B200" i="7"/>
  <c r="C200" i="7"/>
  <c r="A201" i="7"/>
  <c r="B201" i="7"/>
  <c r="C201" i="7"/>
  <c r="A202" i="7"/>
  <c r="B202" i="7"/>
  <c r="C202" i="7"/>
  <c r="A203" i="7"/>
  <c r="B203" i="7"/>
  <c r="C203" i="7"/>
  <c r="A204" i="7"/>
  <c r="B204" i="7"/>
  <c r="C204" i="7"/>
  <c r="A205" i="7"/>
  <c r="B205" i="7"/>
  <c r="C205" i="7"/>
  <c r="A206" i="7"/>
  <c r="B206" i="7"/>
  <c r="C206" i="7"/>
  <c r="A207" i="7"/>
  <c r="B207" i="7"/>
  <c r="C207" i="7"/>
  <c r="A208" i="7"/>
  <c r="B208" i="7"/>
  <c r="C208" i="7"/>
  <c r="A209" i="7"/>
  <c r="B209" i="7"/>
  <c r="C209" i="7"/>
  <c r="A210" i="7"/>
  <c r="B210" i="7"/>
  <c r="C210" i="7"/>
  <c r="A211" i="7"/>
  <c r="B211" i="7"/>
  <c r="C211" i="7"/>
  <c r="A212" i="7"/>
  <c r="B212" i="7"/>
  <c r="C212" i="7"/>
  <c r="A213" i="7"/>
  <c r="B213" i="7"/>
  <c r="C213" i="7"/>
  <c r="A214" i="7"/>
  <c r="B214" i="7"/>
  <c r="C214" i="7"/>
  <c r="A215" i="7"/>
  <c r="B215" i="7"/>
  <c r="C215" i="7"/>
  <c r="A216" i="7"/>
  <c r="B216" i="7"/>
  <c r="C216" i="7"/>
  <c r="A217" i="7"/>
  <c r="B217" i="7"/>
  <c r="C217" i="7"/>
  <c r="A218" i="7"/>
  <c r="B218" i="7"/>
  <c r="C218" i="7"/>
  <c r="A219" i="7"/>
  <c r="B219" i="7"/>
  <c r="C219" i="7"/>
  <c r="A220" i="7"/>
  <c r="B220" i="7"/>
  <c r="C220" i="7"/>
  <c r="A221" i="7"/>
  <c r="B221" i="7"/>
  <c r="C221" i="7"/>
  <c r="A222" i="7"/>
  <c r="B222" i="7"/>
  <c r="C222" i="7"/>
  <c r="A223" i="7"/>
  <c r="B223" i="7"/>
  <c r="C223" i="7"/>
  <c r="A224" i="7"/>
  <c r="B224" i="7"/>
  <c r="C224" i="7"/>
  <c r="A225" i="7"/>
  <c r="B225" i="7"/>
  <c r="C225" i="7"/>
  <c r="A226" i="7"/>
  <c r="B226" i="7"/>
  <c r="C226" i="7"/>
  <c r="A227" i="7"/>
  <c r="B227" i="7"/>
  <c r="C227" i="7"/>
  <c r="A228" i="7"/>
  <c r="B228" i="7"/>
  <c r="C228" i="7"/>
  <c r="A229" i="7"/>
  <c r="B229" i="7"/>
  <c r="C229" i="7"/>
  <c r="A230" i="7"/>
  <c r="B230" i="7"/>
  <c r="C230" i="7"/>
  <c r="A231" i="7"/>
  <c r="B231" i="7"/>
  <c r="C231" i="7"/>
  <c r="A232" i="7"/>
  <c r="B232" i="7"/>
  <c r="C232" i="7"/>
  <c r="A233" i="7"/>
  <c r="B233" i="7"/>
  <c r="C233" i="7"/>
  <c r="A234" i="7"/>
  <c r="B234" i="7"/>
  <c r="C234" i="7"/>
  <c r="A235" i="7"/>
  <c r="B235" i="7"/>
  <c r="C235" i="7"/>
  <c r="A236" i="7"/>
  <c r="B236" i="7"/>
  <c r="C236" i="7"/>
  <c r="A237" i="7"/>
  <c r="B237" i="7"/>
  <c r="C237" i="7"/>
  <c r="A238" i="7"/>
  <c r="B238" i="7"/>
  <c r="C238" i="7"/>
  <c r="A239" i="7"/>
  <c r="B239" i="7"/>
  <c r="C239" i="7"/>
  <c r="A240" i="7"/>
  <c r="B240" i="7"/>
  <c r="C240" i="7"/>
  <c r="A241" i="7"/>
  <c r="B241" i="7"/>
  <c r="C241" i="7"/>
  <c r="A242" i="7"/>
  <c r="B242" i="7"/>
  <c r="C242" i="7"/>
  <c r="A243" i="7"/>
  <c r="B243" i="7"/>
  <c r="C243" i="7"/>
  <c r="A244" i="7"/>
  <c r="B244" i="7"/>
  <c r="C244" i="7"/>
  <c r="A245" i="7"/>
  <c r="B245" i="7"/>
  <c r="C245" i="7"/>
  <c r="A246" i="7"/>
  <c r="B246" i="7"/>
  <c r="C246" i="7"/>
  <c r="A247" i="7"/>
  <c r="B247" i="7"/>
  <c r="C247" i="7"/>
  <c r="A248" i="7"/>
  <c r="B248" i="7"/>
  <c r="C248" i="7"/>
  <c r="A249" i="7"/>
  <c r="B249" i="7"/>
  <c r="C249" i="7"/>
  <c r="A250" i="7"/>
  <c r="B250" i="7"/>
  <c r="C250" i="7"/>
  <c r="A251" i="7"/>
  <c r="B251" i="7"/>
  <c r="C251" i="7"/>
  <c r="A252" i="7"/>
  <c r="B252" i="7"/>
  <c r="C252" i="7"/>
  <c r="A253" i="7"/>
  <c r="B253" i="7"/>
  <c r="C253" i="7"/>
  <c r="A254" i="7"/>
  <c r="B254" i="7"/>
  <c r="C254" i="7"/>
  <c r="A255" i="7"/>
  <c r="B255" i="7"/>
  <c r="C255" i="7"/>
  <c r="A256" i="7"/>
  <c r="B256" i="7"/>
  <c r="C256" i="7"/>
  <c r="A257" i="7"/>
  <c r="B257" i="7"/>
  <c r="C257" i="7"/>
  <c r="B8" i="7"/>
  <c r="C8" i="7"/>
  <c r="A8" i="7"/>
  <c r="A10" i="6"/>
  <c r="B10" i="6"/>
  <c r="C10" i="6"/>
  <c r="A11" i="6"/>
  <c r="B11" i="6"/>
  <c r="C11" i="6"/>
  <c r="A12" i="6"/>
  <c r="B12" i="6"/>
  <c r="C12" i="6"/>
  <c r="A13" i="6"/>
  <c r="B13" i="6"/>
  <c r="C13" i="6"/>
  <c r="A14" i="6"/>
  <c r="B14" i="6"/>
  <c r="C14" i="6"/>
  <c r="A15" i="6"/>
  <c r="B15" i="6"/>
  <c r="C15" i="6"/>
  <c r="A16" i="6"/>
  <c r="B16" i="6"/>
  <c r="C16" i="6"/>
  <c r="A17" i="6"/>
  <c r="B17" i="6"/>
  <c r="C17" i="6"/>
  <c r="A18" i="6"/>
  <c r="B18" i="6"/>
  <c r="C18" i="6"/>
  <c r="A19" i="6"/>
  <c r="B19" i="6"/>
  <c r="C19" i="6"/>
  <c r="A20" i="6"/>
  <c r="B20" i="6"/>
  <c r="C20" i="6"/>
  <c r="A21" i="6"/>
  <c r="B21" i="6"/>
  <c r="C21" i="6"/>
  <c r="A22" i="6"/>
  <c r="B22" i="6"/>
  <c r="C22" i="6"/>
  <c r="A23" i="6"/>
  <c r="B23" i="6"/>
  <c r="C23" i="6"/>
  <c r="A24" i="6"/>
  <c r="B24" i="6"/>
  <c r="C24" i="6"/>
  <c r="A25" i="6"/>
  <c r="B25" i="6"/>
  <c r="C25" i="6"/>
  <c r="A26" i="6"/>
  <c r="B26" i="6"/>
  <c r="C26" i="6"/>
  <c r="A27" i="6"/>
  <c r="B27" i="6"/>
  <c r="C27" i="6"/>
  <c r="A28" i="6"/>
  <c r="B28" i="6"/>
  <c r="C28" i="6"/>
  <c r="A29" i="6"/>
  <c r="B29" i="6"/>
  <c r="C29" i="6"/>
  <c r="A30" i="6"/>
  <c r="B30" i="6"/>
  <c r="C30" i="6"/>
  <c r="A31" i="6"/>
  <c r="B31" i="6"/>
  <c r="C31" i="6"/>
  <c r="A32" i="6"/>
  <c r="B32" i="6"/>
  <c r="C32" i="6"/>
  <c r="A33" i="6"/>
  <c r="B33" i="6"/>
  <c r="C33" i="6"/>
  <c r="A34" i="6"/>
  <c r="B34" i="6"/>
  <c r="C34" i="6"/>
  <c r="A35" i="6"/>
  <c r="B35" i="6"/>
  <c r="C35" i="6"/>
  <c r="A36" i="6"/>
  <c r="B36" i="6"/>
  <c r="C36" i="6"/>
  <c r="A37" i="6"/>
  <c r="B37" i="6"/>
  <c r="C37" i="6"/>
  <c r="A38" i="6"/>
  <c r="B38" i="6"/>
  <c r="C38" i="6"/>
  <c r="A39" i="6"/>
  <c r="B39" i="6"/>
  <c r="C39" i="6"/>
  <c r="A40" i="6"/>
  <c r="B40" i="6"/>
  <c r="C40" i="6"/>
  <c r="A41" i="6"/>
  <c r="B41" i="6"/>
  <c r="C41" i="6"/>
  <c r="A42" i="6"/>
  <c r="B42" i="6"/>
  <c r="C42" i="6"/>
  <c r="A43" i="6"/>
  <c r="B43" i="6"/>
  <c r="C43" i="6"/>
  <c r="A44" i="6"/>
  <c r="B44" i="6"/>
  <c r="C44" i="6"/>
  <c r="A45" i="6"/>
  <c r="B45" i="6"/>
  <c r="C45" i="6"/>
  <c r="A46" i="6"/>
  <c r="B46" i="6"/>
  <c r="C46" i="6"/>
  <c r="A47" i="6"/>
  <c r="B47" i="6"/>
  <c r="C47" i="6"/>
  <c r="A48" i="6"/>
  <c r="B48" i="6"/>
  <c r="C48" i="6"/>
  <c r="A49" i="6"/>
  <c r="B49" i="6"/>
  <c r="C49" i="6"/>
  <c r="A50" i="6"/>
  <c r="B50" i="6"/>
  <c r="C50" i="6"/>
  <c r="A51" i="6"/>
  <c r="B51" i="6"/>
  <c r="C51" i="6"/>
  <c r="A52" i="6"/>
  <c r="B52" i="6"/>
  <c r="C52" i="6"/>
  <c r="A53" i="6"/>
  <c r="B53" i="6"/>
  <c r="C53" i="6"/>
  <c r="A54" i="6"/>
  <c r="B54" i="6"/>
  <c r="C54" i="6"/>
  <c r="A55" i="6"/>
  <c r="B55" i="6"/>
  <c r="C55" i="6"/>
  <c r="A56" i="6"/>
  <c r="B56" i="6"/>
  <c r="C56" i="6"/>
  <c r="A57" i="6"/>
  <c r="B57" i="6"/>
  <c r="C57" i="6"/>
  <c r="A58" i="6"/>
  <c r="B58" i="6"/>
  <c r="C58" i="6"/>
  <c r="A59" i="6"/>
  <c r="B59" i="6"/>
  <c r="C59" i="6"/>
  <c r="A60" i="6"/>
  <c r="B60" i="6"/>
  <c r="C60" i="6"/>
  <c r="A61" i="6"/>
  <c r="B61" i="6"/>
  <c r="C61" i="6"/>
  <c r="A62" i="6"/>
  <c r="B62" i="6"/>
  <c r="C62" i="6"/>
  <c r="A63" i="6"/>
  <c r="B63" i="6"/>
  <c r="C63" i="6"/>
  <c r="A64" i="6"/>
  <c r="B64" i="6"/>
  <c r="C64" i="6"/>
  <c r="A65" i="6"/>
  <c r="B65" i="6"/>
  <c r="C65" i="6"/>
  <c r="A66" i="6"/>
  <c r="B66" i="6"/>
  <c r="C66" i="6"/>
  <c r="A67" i="6"/>
  <c r="B67" i="6"/>
  <c r="C67" i="6"/>
  <c r="A68" i="6"/>
  <c r="B68" i="6"/>
  <c r="C68" i="6"/>
  <c r="A69" i="6"/>
  <c r="B69" i="6"/>
  <c r="C69" i="6"/>
  <c r="A70" i="6"/>
  <c r="B70" i="6"/>
  <c r="C70" i="6"/>
  <c r="A71" i="6"/>
  <c r="B71" i="6"/>
  <c r="C71" i="6"/>
  <c r="A72" i="6"/>
  <c r="B72" i="6"/>
  <c r="C72" i="6"/>
  <c r="A73" i="6"/>
  <c r="B73" i="6"/>
  <c r="C73" i="6"/>
  <c r="A74" i="6"/>
  <c r="B74" i="6"/>
  <c r="C74" i="6"/>
  <c r="A75" i="6"/>
  <c r="B75" i="6"/>
  <c r="C75" i="6"/>
  <c r="A76" i="6"/>
  <c r="B76" i="6"/>
  <c r="C76" i="6"/>
  <c r="A77" i="6"/>
  <c r="B77" i="6"/>
  <c r="C77" i="6"/>
  <c r="A78" i="6"/>
  <c r="B78" i="6"/>
  <c r="C78" i="6"/>
  <c r="A79" i="6"/>
  <c r="B79" i="6"/>
  <c r="C79" i="6"/>
  <c r="A80" i="6"/>
  <c r="B80" i="6"/>
  <c r="C80" i="6"/>
  <c r="A81" i="6"/>
  <c r="B81" i="6"/>
  <c r="C81" i="6"/>
  <c r="A82" i="6"/>
  <c r="B82" i="6"/>
  <c r="C82" i="6"/>
  <c r="A83" i="6"/>
  <c r="B83" i="6"/>
  <c r="C83" i="6"/>
  <c r="A84" i="6"/>
  <c r="B84" i="6"/>
  <c r="C84" i="6"/>
  <c r="A85" i="6"/>
  <c r="B85" i="6"/>
  <c r="C85" i="6"/>
  <c r="A86" i="6"/>
  <c r="B86" i="6"/>
  <c r="C86" i="6"/>
  <c r="A87" i="6"/>
  <c r="B87" i="6"/>
  <c r="C87" i="6"/>
  <c r="A88" i="6"/>
  <c r="B88" i="6"/>
  <c r="C88" i="6"/>
  <c r="A89" i="6"/>
  <c r="B89" i="6"/>
  <c r="C89" i="6"/>
  <c r="A90" i="6"/>
  <c r="B90" i="6"/>
  <c r="C90" i="6"/>
  <c r="A91" i="6"/>
  <c r="B91" i="6"/>
  <c r="C91" i="6"/>
  <c r="A92" i="6"/>
  <c r="B92" i="6"/>
  <c r="C92" i="6"/>
  <c r="A93" i="6"/>
  <c r="B93" i="6"/>
  <c r="C93" i="6"/>
  <c r="A94" i="6"/>
  <c r="B94" i="6"/>
  <c r="C94" i="6"/>
  <c r="A95" i="6"/>
  <c r="B95" i="6"/>
  <c r="C95" i="6"/>
  <c r="A96" i="6"/>
  <c r="B96" i="6"/>
  <c r="C96" i="6"/>
  <c r="A97" i="6"/>
  <c r="B97" i="6"/>
  <c r="C97" i="6"/>
  <c r="A98" i="6"/>
  <c r="B98" i="6"/>
  <c r="C98" i="6"/>
  <c r="A99" i="6"/>
  <c r="B99" i="6"/>
  <c r="C99" i="6"/>
  <c r="A100" i="6"/>
  <c r="B100" i="6"/>
  <c r="C100" i="6"/>
  <c r="A101" i="6"/>
  <c r="B101" i="6"/>
  <c r="C101" i="6"/>
  <c r="A102" i="6"/>
  <c r="B102" i="6"/>
  <c r="C102" i="6"/>
  <c r="A103" i="6"/>
  <c r="B103" i="6"/>
  <c r="C103" i="6"/>
  <c r="A104" i="6"/>
  <c r="B104" i="6"/>
  <c r="C104" i="6"/>
  <c r="A105" i="6"/>
  <c r="B105" i="6"/>
  <c r="C105" i="6"/>
  <c r="A106" i="6"/>
  <c r="B106" i="6"/>
  <c r="C106" i="6"/>
  <c r="A107" i="6"/>
  <c r="B107" i="6"/>
  <c r="C107" i="6"/>
  <c r="A108" i="6"/>
  <c r="B108" i="6"/>
  <c r="C108" i="6"/>
  <c r="A109" i="6"/>
  <c r="B109" i="6"/>
  <c r="C109" i="6"/>
  <c r="A110" i="6"/>
  <c r="B110" i="6"/>
  <c r="C110" i="6"/>
  <c r="A111" i="6"/>
  <c r="B111" i="6"/>
  <c r="C111" i="6"/>
  <c r="A112" i="6"/>
  <c r="B112" i="6"/>
  <c r="C112" i="6"/>
  <c r="A113" i="6"/>
  <c r="B113" i="6"/>
  <c r="C113" i="6"/>
  <c r="A114" i="6"/>
  <c r="B114" i="6"/>
  <c r="C114" i="6"/>
  <c r="A115" i="6"/>
  <c r="B115" i="6"/>
  <c r="C115" i="6"/>
  <c r="A116" i="6"/>
  <c r="B116" i="6"/>
  <c r="C116" i="6"/>
  <c r="A117" i="6"/>
  <c r="B117" i="6"/>
  <c r="C117" i="6"/>
  <c r="A118" i="6"/>
  <c r="B118" i="6"/>
  <c r="C118" i="6"/>
  <c r="A119" i="6"/>
  <c r="B119" i="6"/>
  <c r="C119" i="6"/>
  <c r="A120" i="6"/>
  <c r="B120" i="6"/>
  <c r="C120" i="6"/>
  <c r="A121" i="6"/>
  <c r="B121" i="6"/>
  <c r="C121" i="6"/>
  <c r="A122" i="6"/>
  <c r="B122" i="6"/>
  <c r="C122" i="6"/>
  <c r="A123" i="6"/>
  <c r="B123" i="6"/>
  <c r="C123" i="6"/>
  <c r="A124" i="6"/>
  <c r="B124" i="6"/>
  <c r="C124" i="6"/>
  <c r="A125" i="6"/>
  <c r="B125" i="6"/>
  <c r="C125" i="6"/>
  <c r="A126" i="6"/>
  <c r="B126" i="6"/>
  <c r="C126" i="6"/>
  <c r="A127" i="6"/>
  <c r="B127" i="6"/>
  <c r="C127" i="6"/>
  <c r="A128" i="6"/>
  <c r="B128" i="6"/>
  <c r="C128" i="6"/>
  <c r="A129" i="6"/>
  <c r="B129" i="6"/>
  <c r="C129" i="6"/>
  <c r="A130" i="6"/>
  <c r="B130" i="6"/>
  <c r="C130" i="6"/>
  <c r="A131" i="6"/>
  <c r="B131" i="6"/>
  <c r="C131" i="6"/>
  <c r="A132" i="6"/>
  <c r="B132" i="6"/>
  <c r="C132" i="6"/>
  <c r="A133" i="6"/>
  <c r="B133" i="6"/>
  <c r="C133" i="6"/>
  <c r="A134" i="6"/>
  <c r="B134" i="6"/>
  <c r="C134" i="6"/>
  <c r="A135" i="6"/>
  <c r="B135" i="6"/>
  <c r="C135" i="6"/>
  <c r="A136" i="6"/>
  <c r="B136" i="6"/>
  <c r="C136" i="6"/>
  <c r="A137" i="6"/>
  <c r="B137" i="6"/>
  <c r="C137" i="6"/>
  <c r="A138" i="6"/>
  <c r="B138" i="6"/>
  <c r="C138" i="6"/>
  <c r="A139" i="6"/>
  <c r="B139" i="6"/>
  <c r="C139" i="6"/>
  <c r="A140" i="6"/>
  <c r="B140" i="6"/>
  <c r="C140" i="6"/>
  <c r="A141" i="6"/>
  <c r="B141" i="6"/>
  <c r="C141" i="6"/>
  <c r="A142" i="6"/>
  <c r="B142" i="6"/>
  <c r="C142" i="6"/>
  <c r="A143" i="6"/>
  <c r="B143" i="6"/>
  <c r="C143" i="6"/>
  <c r="A144" i="6"/>
  <c r="B144" i="6"/>
  <c r="C144" i="6"/>
  <c r="A145" i="6"/>
  <c r="B145" i="6"/>
  <c r="C145" i="6"/>
  <c r="A146" i="6"/>
  <c r="B146" i="6"/>
  <c r="C146" i="6"/>
  <c r="A147" i="6"/>
  <c r="B147" i="6"/>
  <c r="C147" i="6"/>
  <c r="A148" i="6"/>
  <c r="B148" i="6"/>
  <c r="C148" i="6"/>
  <c r="A149" i="6"/>
  <c r="B149" i="6"/>
  <c r="C149" i="6"/>
  <c r="A150" i="6"/>
  <c r="B150" i="6"/>
  <c r="C150" i="6"/>
  <c r="A151" i="6"/>
  <c r="B151" i="6"/>
  <c r="C151" i="6"/>
  <c r="A152" i="6"/>
  <c r="B152" i="6"/>
  <c r="C152" i="6"/>
  <c r="A153" i="6"/>
  <c r="B153" i="6"/>
  <c r="C153" i="6"/>
  <c r="A154" i="6"/>
  <c r="B154" i="6"/>
  <c r="C154" i="6"/>
  <c r="A155" i="6"/>
  <c r="B155" i="6"/>
  <c r="C155" i="6"/>
  <c r="A156" i="6"/>
  <c r="B156" i="6"/>
  <c r="C156" i="6"/>
  <c r="A157" i="6"/>
  <c r="B157" i="6"/>
  <c r="C157" i="6"/>
  <c r="A158" i="6"/>
  <c r="B158" i="6"/>
  <c r="C158" i="6"/>
  <c r="A159" i="6"/>
  <c r="B159" i="6"/>
  <c r="C159" i="6"/>
  <c r="A160" i="6"/>
  <c r="B160" i="6"/>
  <c r="C160" i="6"/>
  <c r="A161" i="6"/>
  <c r="B161" i="6"/>
  <c r="C161" i="6"/>
  <c r="A162" i="6"/>
  <c r="B162" i="6"/>
  <c r="C162" i="6"/>
  <c r="A163" i="6"/>
  <c r="B163" i="6"/>
  <c r="C163" i="6"/>
  <c r="A164" i="6"/>
  <c r="B164" i="6"/>
  <c r="C164" i="6"/>
  <c r="A165" i="6"/>
  <c r="B165" i="6"/>
  <c r="C165" i="6"/>
  <c r="A166" i="6"/>
  <c r="B166" i="6"/>
  <c r="C166" i="6"/>
  <c r="A167" i="6"/>
  <c r="B167" i="6"/>
  <c r="C167" i="6"/>
  <c r="A168" i="6"/>
  <c r="B168" i="6"/>
  <c r="C168" i="6"/>
  <c r="A169" i="6"/>
  <c r="B169" i="6"/>
  <c r="C169" i="6"/>
  <c r="A170" i="6"/>
  <c r="B170" i="6"/>
  <c r="C170" i="6"/>
  <c r="A171" i="6"/>
  <c r="B171" i="6"/>
  <c r="C171" i="6"/>
  <c r="A172" i="6"/>
  <c r="B172" i="6"/>
  <c r="C172" i="6"/>
  <c r="A173" i="6"/>
  <c r="B173" i="6"/>
  <c r="C173" i="6"/>
  <c r="A174" i="6"/>
  <c r="B174" i="6"/>
  <c r="C174" i="6"/>
  <c r="A175" i="6"/>
  <c r="B175" i="6"/>
  <c r="C175" i="6"/>
  <c r="A176" i="6"/>
  <c r="B176" i="6"/>
  <c r="C176" i="6"/>
  <c r="A177" i="6"/>
  <c r="B177" i="6"/>
  <c r="C177" i="6"/>
  <c r="A178" i="6"/>
  <c r="B178" i="6"/>
  <c r="C178" i="6"/>
  <c r="A179" i="6"/>
  <c r="B179" i="6"/>
  <c r="C179" i="6"/>
  <c r="A180" i="6"/>
  <c r="B180" i="6"/>
  <c r="C180" i="6"/>
  <c r="A181" i="6"/>
  <c r="B181" i="6"/>
  <c r="C181" i="6"/>
  <c r="A182" i="6"/>
  <c r="B182" i="6"/>
  <c r="C182" i="6"/>
  <c r="A183" i="6"/>
  <c r="B183" i="6"/>
  <c r="C183" i="6"/>
  <c r="A184" i="6"/>
  <c r="B184" i="6"/>
  <c r="C184" i="6"/>
  <c r="A185" i="6"/>
  <c r="B185" i="6"/>
  <c r="C185" i="6"/>
  <c r="A186" i="6"/>
  <c r="B186" i="6"/>
  <c r="C186" i="6"/>
  <c r="A187" i="6"/>
  <c r="B187" i="6"/>
  <c r="C187" i="6"/>
  <c r="A188" i="6"/>
  <c r="B188" i="6"/>
  <c r="C188" i="6"/>
  <c r="A189" i="6"/>
  <c r="B189" i="6"/>
  <c r="C189" i="6"/>
  <c r="A190" i="6"/>
  <c r="B190" i="6"/>
  <c r="C190" i="6"/>
  <c r="A191" i="6"/>
  <c r="B191" i="6"/>
  <c r="C191" i="6"/>
  <c r="A192" i="6"/>
  <c r="B192" i="6"/>
  <c r="C192" i="6"/>
  <c r="A193" i="6"/>
  <c r="B193" i="6"/>
  <c r="C193" i="6"/>
  <c r="A194" i="6"/>
  <c r="B194" i="6"/>
  <c r="C194" i="6"/>
  <c r="A195" i="6"/>
  <c r="B195" i="6"/>
  <c r="C195" i="6"/>
  <c r="A196" i="6"/>
  <c r="B196" i="6"/>
  <c r="C196" i="6"/>
  <c r="A197" i="6"/>
  <c r="B197" i="6"/>
  <c r="C197" i="6"/>
  <c r="A198" i="6"/>
  <c r="B198" i="6"/>
  <c r="C198" i="6"/>
  <c r="A199" i="6"/>
  <c r="B199" i="6"/>
  <c r="C199" i="6"/>
  <c r="A200" i="6"/>
  <c r="B200" i="6"/>
  <c r="C200" i="6"/>
  <c r="A201" i="6"/>
  <c r="B201" i="6"/>
  <c r="C201" i="6"/>
  <c r="A202" i="6"/>
  <c r="B202" i="6"/>
  <c r="C202" i="6"/>
  <c r="A203" i="6"/>
  <c r="B203" i="6"/>
  <c r="C203" i="6"/>
  <c r="A204" i="6"/>
  <c r="B204" i="6"/>
  <c r="C204" i="6"/>
  <c r="A205" i="6"/>
  <c r="B205" i="6"/>
  <c r="C205" i="6"/>
  <c r="A206" i="6"/>
  <c r="B206" i="6"/>
  <c r="C206" i="6"/>
  <c r="A207" i="6"/>
  <c r="B207" i="6"/>
  <c r="C207" i="6"/>
  <c r="A208" i="6"/>
  <c r="B208" i="6"/>
  <c r="C208" i="6"/>
  <c r="A209" i="6"/>
  <c r="B209" i="6"/>
  <c r="C209" i="6"/>
  <c r="A210" i="6"/>
  <c r="B210" i="6"/>
  <c r="C210" i="6"/>
  <c r="A211" i="6"/>
  <c r="B211" i="6"/>
  <c r="C211" i="6"/>
  <c r="A212" i="6"/>
  <c r="B212" i="6"/>
  <c r="C212" i="6"/>
  <c r="A213" i="6"/>
  <c r="B213" i="6"/>
  <c r="C213" i="6"/>
  <c r="A214" i="6"/>
  <c r="B214" i="6"/>
  <c r="C214" i="6"/>
  <c r="A215" i="6"/>
  <c r="B215" i="6"/>
  <c r="C215" i="6"/>
  <c r="A216" i="6"/>
  <c r="B216" i="6"/>
  <c r="C216" i="6"/>
  <c r="A217" i="6"/>
  <c r="B217" i="6"/>
  <c r="C217" i="6"/>
  <c r="A218" i="6"/>
  <c r="B218" i="6"/>
  <c r="C218" i="6"/>
  <c r="A219" i="6"/>
  <c r="B219" i="6"/>
  <c r="C219" i="6"/>
  <c r="A220" i="6"/>
  <c r="B220" i="6"/>
  <c r="C220" i="6"/>
  <c r="A221" i="6"/>
  <c r="B221" i="6"/>
  <c r="C221" i="6"/>
  <c r="A222" i="6"/>
  <c r="B222" i="6"/>
  <c r="C222" i="6"/>
  <c r="A223" i="6"/>
  <c r="B223" i="6"/>
  <c r="C223" i="6"/>
  <c r="A224" i="6"/>
  <c r="B224" i="6"/>
  <c r="C224" i="6"/>
  <c r="A225" i="6"/>
  <c r="B225" i="6"/>
  <c r="C225" i="6"/>
  <c r="A226" i="6"/>
  <c r="B226" i="6"/>
  <c r="C226" i="6"/>
  <c r="A227" i="6"/>
  <c r="B227" i="6"/>
  <c r="C227" i="6"/>
  <c r="A228" i="6"/>
  <c r="B228" i="6"/>
  <c r="C228" i="6"/>
  <c r="A229" i="6"/>
  <c r="B229" i="6"/>
  <c r="C229" i="6"/>
  <c r="A230" i="6"/>
  <c r="B230" i="6"/>
  <c r="C230" i="6"/>
  <c r="A231" i="6"/>
  <c r="B231" i="6"/>
  <c r="C231" i="6"/>
  <c r="A232" i="6"/>
  <c r="B232" i="6"/>
  <c r="C232" i="6"/>
  <c r="A233" i="6"/>
  <c r="B233" i="6"/>
  <c r="C233" i="6"/>
  <c r="A234" i="6"/>
  <c r="B234" i="6"/>
  <c r="C234" i="6"/>
  <c r="A235" i="6"/>
  <c r="B235" i="6"/>
  <c r="C235" i="6"/>
  <c r="A236" i="6"/>
  <c r="B236" i="6"/>
  <c r="C236" i="6"/>
  <c r="A237" i="6"/>
  <c r="B237" i="6"/>
  <c r="C237" i="6"/>
  <c r="A238" i="6"/>
  <c r="B238" i="6"/>
  <c r="C238" i="6"/>
  <c r="A239" i="6"/>
  <c r="B239" i="6"/>
  <c r="C239" i="6"/>
  <c r="A240" i="6"/>
  <c r="B240" i="6"/>
  <c r="C240" i="6"/>
  <c r="A241" i="6"/>
  <c r="B241" i="6"/>
  <c r="C241" i="6"/>
  <c r="A242" i="6"/>
  <c r="B242" i="6"/>
  <c r="C242" i="6"/>
  <c r="A243" i="6"/>
  <c r="B243" i="6"/>
  <c r="C243" i="6"/>
  <c r="A244" i="6"/>
  <c r="B244" i="6"/>
  <c r="C244" i="6"/>
  <c r="A245" i="6"/>
  <c r="B245" i="6"/>
  <c r="C245" i="6"/>
  <c r="A246" i="6"/>
  <c r="B246" i="6"/>
  <c r="C246" i="6"/>
  <c r="A247" i="6"/>
  <c r="B247" i="6"/>
  <c r="C247" i="6"/>
  <c r="A248" i="6"/>
  <c r="B248" i="6"/>
  <c r="C248" i="6"/>
  <c r="A249" i="6"/>
  <c r="B249" i="6"/>
  <c r="C249" i="6"/>
  <c r="A250" i="6"/>
  <c r="B250" i="6"/>
  <c r="C250" i="6"/>
  <c r="A251" i="6"/>
  <c r="B251" i="6"/>
  <c r="C251" i="6"/>
  <c r="A252" i="6"/>
  <c r="B252" i="6"/>
  <c r="C252" i="6"/>
  <c r="A253" i="6"/>
  <c r="B253" i="6"/>
  <c r="C253" i="6"/>
  <c r="A254" i="6"/>
  <c r="B254" i="6"/>
  <c r="C254" i="6"/>
  <c r="A255" i="6"/>
  <c r="B255" i="6"/>
  <c r="C255" i="6"/>
  <c r="A256" i="6"/>
  <c r="B256" i="6"/>
  <c r="C256" i="6"/>
  <c r="A257" i="6"/>
  <c r="B257" i="6"/>
  <c r="C257" i="6"/>
  <c r="A258" i="6"/>
  <c r="B258" i="6"/>
  <c r="C258" i="6"/>
  <c r="B9" i="6"/>
  <c r="C9" i="6"/>
  <c r="A9" i="6"/>
  <c r="A10" i="5"/>
  <c r="B10" i="5"/>
  <c r="C10" i="5"/>
  <c r="A11" i="5"/>
  <c r="B11" i="5"/>
  <c r="C11" i="5"/>
  <c r="A12" i="5"/>
  <c r="B12" i="5"/>
  <c r="C12" i="5"/>
  <c r="A13" i="5"/>
  <c r="B13" i="5"/>
  <c r="C13" i="5"/>
  <c r="A14" i="5"/>
  <c r="B14" i="5"/>
  <c r="C14" i="5"/>
  <c r="A15" i="5"/>
  <c r="B15" i="5"/>
  <c r="C15" i="5"/>
  <c r="A16" i="5"/>
  <c r="B16" i="5"/>
  <c r="C16" i="5"/>
  <c r="A17" i="5"/>
  <c r="B17" i="5"/>
  <c r="C17" i="5"/>
  <c r="A18" i="5"/>
  <c r="B18" i="5"/>
  <c r="C18" i="5"/>
  <c r="A19" i="5"/>
  <c r="B19" i="5"/>
  <c r="C19" i="5"/>
  <c r="A20" i="5"/>
  <c r="B20" i="5"/>
  <c r="C20" i="5"/>
  <c r="A21" i="5"/>
  <c r="B21" i="5"/>
  <c r="C21" i="5"/>
  <c r="A22" i="5"/>
  <c r="B22" i="5"/>
  <c r="C22" i="5"/>
  <c r="A23" i="5"/>
  <c r="B23" i="5"/>
  <c r="C23" i="5"/>
  <c r="A24" i="5"/>
  <c r="B24" i="5"/>
  <c r="C24" i="5"/>
  <c r="A25" i="5"/>
  <c r="B25" i="5"/>
  <c r="C25" i="5"/>
  <c r="A26" i="5"/>
  <c r="B26" i="5"/>
  <c r="C26" i="5"/>
  <c r="A27" i="5"/>
  <c r="B27" i="5"/>
  <c r="C27" i="5"/>
  <c r="A28" i="5"/>
  <c r="B28" i="5"/>
  <c r="C28" i="5"/>
  <c r="A29" i="5"/>
  <c r="B29" i="5"/>
  <c r="C29" i="5"/>
  <c r="A30" i="5"/>
  <c r="B30" i="5"/>
  <c r="C30" i="5"/>
  <c r="A31" i="5"/>
  <c r="B31" i="5"/>
  <c r="C31" i="5"/>
  <c r="A32" i="5"/>
  <c r="B32" i="5"/>
  <c r="C32" i="5"/>
  <c r="A33" i="5"/>
  <c r="B33" i="5"/>
  <c r="C33" i="5"/>
  <c r="A34" i="5"/>
  <c r="B34" i="5"/>
  <c r="C34" i="5"/>
  <c r="A35" i="5"/>
  <c r="B35" i="5"/>
  <c r="C35" i="5"/>
  <c r="A36" i="5"/>
  <c r="B36" i="5"/>
  <c r="C36" i="5"/>
  <c r="A37" i="5"/>
  <c r="B37" i="5"/>
  <c r="C37" i="5"/>
  <c r="A38" i="5"/>
  <c r="B38" i="5"/>
  <c r="C38" i="5"/>
  <c r="A39" i="5"/>
  <c r="B39" i="5"/>
  <c r="C39" i="5"/>
  <c r="A40" i="5"/>
  <c r="B40" i="5"/>
  <c r="C40" i="5"/>
  <c r="A41" i="5"/>
  <c r="B41" i="5"/>
  <c r="C41" i="5"/>
  <c r="A42" i="5"/>
  <c r="B42" i="5"/>
  <c r="C42" i="5"/>
  <c r="A43" i="5"/>
  <c r="B43" i="5"/>
  <c r="C43" i="5"/>
  <c r="A44" i="5"/>
  <c r="B44" i="5"/>
  <c r="C44" i="5"/>
  <c r="A45" i="5"/>
  <c r="B45" i="5"/>
  <c r="C45" i="5"/>
  <c r="A46" i="5"/>
  <c r="B46" i="5"/>
  <c r="C46" i="5"/>
  <c r="A47" i="5"/>
  <c r="B47" i="5"/>
  <c r="C47" i="5"/>
  <c r="A48" i="5"/>
  <c r="B48" i="5"/>
  <c r="C48" i="5"/>
  <c r="A49" i="5"/>
  <c r="B49" i="5"/>
  <c r="C49" i="5"/>
  <c r="A50" i="5"/>
  <c r="B50" i="5"/>
  <c r="C50" i="5"/>
  <c r="A51" i="5"/>
  <c r="B51" i="5"/>
  <c r="C51" i="5"/>
  <c r="A52" i="5"/>
  <c r="B52" i="5"/>
  <c r="C52" i="5"/>
  <c r="A53" i="5"/>
  <c r="B53" i="5"/>
  <c r="C53" i="5"/>
  <c r="A54" i="5"/>
  <c r="B54" i="5"/>
  <c r="C54" i="5"/>
  <c r="A55" i="5"/>
  <c r="B55" i="5"/>
  <c r="C55" i="5"/>
  <c r="A56" i="5"/>
  <c r="B56" i="5"/>
  <c r="C56" i="5"/>
  <c r="A57" i="5"/>
  <c r="B57" i="5"/>
  <c r="C57" i="5"/>
  <c r="A58" i="5"/>
  <c r="B58" i="5"/>
  <c r="C58" i="5"/>
  <c r="A59" i="5"/>
  <c r="B59" i="5"/>
  <c r="C59" i="5"/>
  <c r="A60" i="5"/>
  <c r="B60" i="5"/>
  <c r="C60" i="5"/>
  <c r="A61" i="5"/>
  <c r="B61" i="5"/>
  <c r="C61" i="5"/>
  <c r="A62" i="5"/>
  <c r="B62" i="5"/>
  <c r="C62" i="5"/>
  <c r="A63" i="5"/>
  <c r="B63" i="5"/>
  <c r="C63" i="5"/>
  <c r="A64" i="5"/>
  <c r="B64" i="5"/>
  <c r="C64" i="5"/>
  <c r="A65" i="5"/>
  <c r="B65" i="5"/>
  <c r="C65" i="5"/>
  <c r="A66" i="5"/>
  <c r="B66" i="5"/>
  <c r="C66" i="5"/>
  <c r="A67" i="5"/>
  <c r="B67" i="5"/>
  <c r="C67" i="5"/>
  <c r="A68" i="5"/>
  <c r="B68" i="5"/>
  <c r="C68" i="5"/>
  <c r="A69" i="5"/>
  <c r="B69" i="5"/>
  <c r="C69" i="5"/>
  <c r="A70" i="5"/>
  <c r="B70" i="5"/>
  <c r="C70" i="5"/>
  <c r="A71" i="5"/>
  <c r="B71" i="5"/>
  <c r="C71" i="5"/>
  <c r="A72" i="5"/>
  <c r="B72" i="5"/>
  <c r="C72" i="5"/>
  <c r="A73" i="5"/>
  <c r="B73" i="5"/>
  <c r="C73" i="5"/>
  <c r="A74" i="5"/>
  <c r="B74" i="5"/>
  <c r="C74" i="5"/>
  <c r="A75" i="5"/>
  <c r="B75" i="5"/>
  <c r="C75" i="5"/>
  <c r="A76" i="5"/>
  <c r="B76" i="5"/>
  <c r="C76" i="5"/>
  <c r="A77" i="5"/>
  <c r="B77" i="5"/>
  <c r="C77" i="5"/>
  <c r="A78" i="5"/>
  <c r="B78" i="5"/>
  <c r="C78" i="5"/>
  <c r="A79" i="5"/>
  <c r="B79" i="5"/>
  <c r="C79" i="5"/>
  <c r="A80" i="5"/>
  <c r="B80" i="5"/>
  <c r="C80" i="5"/>
  <c r="A81" i="5"/>
  <c r="B81" i="5"/>
  <c r="C81" i="5"/>
  <c r="A82" i="5"/>
  <c r="B82" i="5"/>
  <c r="C82" i="5"/>
  <c r="A83" i="5"/>
  <c r="B83" i="5"/>
  <c r="C83" i="5"/>
  <c r="A84" i="5"/>
  <c r="B84" i="5"/>
  <c r="C84" i="5"/>
  <c r="A85" i="5"/>
  <c r="B85" i="5"/>
  <c r="C85" i="5"/>
  <c r="A86" i="5"/>
  <c r="B86" i="5"/>
  <c r="C86" i="5"/>
  <c r="A87" i="5"/>
  <c r="B87" i="5"/>
  <c r="C87" i="5"/>
  <c r="A88" i="5"/>
  <c r="B88" i="5"/>
  <c r="C88" i="5"/>
  <c r="A89" i="5"/>
  <c r="B89" i="5"/>
  <c r="C89" i="5"/>
  <c r="A90" i="5"/>
  <c r="B90" i="5"/>
  <c r="C90" i="5"/>
  <c r="A91" i="5"/>
  <c r="B91" i="5"/>
  <c r="C91" i="5"/>
  <c r="A92" i="5"/>
  <c r="B92" i="5"/>
  <c r="C92" i="5"/>
  <c r="A93" i="5"/>
  <c r="B93" i="5"/>
  <c r="C93" i="5"/>
  <c r="A94" i="5"/>
  <c r="B94" i="5"/>
  <c r="C94" i="5"/>
  <c r="A95" i="5"/>
  <c r="B95" i="5"/>
  <c r="C95" i="5"/>
  <c r="A96" i="5"/>
  <c r="B96" i="5"/>
  <c r="C96" i="5"/>
  <c r="A97" i="5"/>
  <c r="B97" i="5"/>
  <c r="C97" i="5"/>
  <c r="A98" i="5"/>
  <c r="B98" i="5"/>
  <c r="C98" i="5"/>
  <c r="A99" i="5"/>
  <c r="B99" i="5"/>
  <c r="C99" i="5"/>
  <c r="A100" i="5"/>
  <c r="B100" i="5"/>
  <c r="C100" i="5"/>
  <c r="A101" i="5"/>
  <c r="B101" i="5"/>
  <c r="C101" i="5"/>
  <c r="A102" i="5"/>
  <c r="B102" i="5"/>
  <c r="C102" i="5"/>
  <c r="A103" i="5"/>
  <c r="B103" i="5"/>
  <c r="C103" i="5"/>
  <c r="A104" i="5"/>
  <c r="B104" i="5"/>
  <c r="C104" i="5"/>
  <c r="A105" i="5"/>
  <c r="B105" i="5"/>
  <c r="C105" i="5"/>
  <c r="A106" i="5"/>
  <c r="B106" i="5"/>
  <c r="C106" i="5"/>
  <c r="A107" i="5"/>
  <c r="B107" i="5"/>
  <c r="C107" i="5"/>
  <c r="A108" i="5"/>
  <c r="B108" i="5"/>
  <c r="C108" i="5"/>
  <c r="A109" i="5"/>
  <c r="B109" i="5"/>
  <c r="C109" i="5"/>
  <c r="A110" i="5"/>
  <c r="B110" i="5"/>
  <c r="C110" i="5"/>
  <c r="A111" i="5"/>
  <c r="B111" i="5"/>
  <c r="C111" i="5"/>
  <c r="A112" i="5"/>
  <c r="B112" i="5"/>
  <c r="C112" i="5"/>
  <c r="A113" i="5"/>
  <c r="B113" i="5"/>
  <c r="C113" i="5"/>
  <c r="A114" i="5"/>
  <c r="B114" i="5"/>
  <c r="C114" i="5"/>
  <c r="A115" i="5"/>
  <c r="B115" i="5"/>
  <c r="C115" i="5"/>
  <c r="A116" i="5"/>
  <c r="B116" i="5"/>
  <c r="C116" i="5"/>
  <c r="A117" i="5"/>
  <c r="B117" i="5"/>
  <c r="C117" i="5"/>
  <c r="A118" i="5"/>
  <c r="B118" i="5"/>
  <c r="C118" i="5"/>
  <c r="A119" i="5"/>
  <c r="B119" i="5"/>
  <c r="C119" i="5"/>
  <c r="A120" i="5"/>
  <c r="B120" i="5"/>
  <c r="C120" i="5"/>
  <c r="A121" i="5"/>
  <c r="B121" i="5"/>
  <c r="C121" i="5"/>
  <c r="A122" i="5"/>
  <c r="B122" i="5"/>
  <c r="C122" i="5"/>
  <c r="A123" i="5"/>
  <c r="B123" i="5"/>
  <c r="C123" i="5"/>
  <c r="A124" i="5"/>
  <c r="B124" i="5"/>
  <c r="C124" i="5"/>
  <c r="A125" i="5"/>
  <c r="B125" i="5"/>
  <c r="C125" i="5"/>
  <c r="A126" i="5"/>
  <c r="B126" i="5"/>
  <c r="C126" i="5"/>
  <c r="A127" i="5"/>
  <c r="B127" i="5"/>
  <c r="C127" i="5"/>
  <c r="A128" i="5"/>
  <c r="B128" i="5"/>
  <c r="C128" i="5"/>
  <c r="A129" i="5"/>
  <c r="B129" i="5"/>
  <c r="C129" i="5"/>
  <c r="A130" i="5"/>
  <c r="B130" i="5"/>
  <c r="C130" i="5"/>
  <c r="A131" i="5"/>
  <c r="B131" i="5"/>
  <c r="C131" i="5"/>
  <c r="A132" i="5"/>
  <c r="B132" i="5"/>
  <c r="C132" i="5"/>
  <c r="A133" i="5"/>
  <c r="B133" i="5"/>
  <c r="C133" i="5"/>
  <c r="A134" i="5"/>
  <c r="B134" i="5"/>
  <c r="C134" i="5"/>
  <c r="A135" i="5"/>
  <c r="B135" i="5"/>
  <c r="C135" i="5"/>
  <c r="A136" i="5"/>
  <c r="B136" i="5"/>
  <c r="C136" i="5"/>
  <c r="A137" i="5"/>
  <c r="B137" i="5"/>
  <c r="C137" i="5"/>
  <c r="A138" i="5"/>
  <c r="B138" i="5"/>
  <c r="C138" i="5"/>
  <c r="A139" i="5"/>
  <c r="B139" i="5"/>
  <c r="C139" i="5"/>
  <c r="A140" i="5"/>
  <c r="B140" i="5"/>
  <c r="C140" i="5"/>
  <c r="A141" i="5"/>
  <c r="B141" i="5"/>
  <c r="C141" i="5"/>
  <c r="A142" i="5"/>
  <c r="B142" i="5"/>
  <c r="C142" i="5"/>
  <c r="A143" i="5"/>
  <c r="B143" i="5"/>
  <c r="C143" i="5"/>
  <c r="A144" i="5"/>
  <c r="B144" i="5"/>
  <c r="C144" i="5"/>
  <c r="A145" i="5"/>
  <c r="B145" i="5"/>
  <c r="C145" i="5"/>
  <c r="A146" i="5"/>
  <c r="B146" i="5"/>
  <c r="C146" i="5"/>
  <c r="A147" i="5"/>
  <c r="B147" i="5"/>
  <c r="C147" i="5"/>
  <c r="A148" i="5"/>
  <c r="B148" i="5"/>
  <c r="C148" i="5"/>
  <c r="A149" i="5"/>
  <c r="B149" i="5"/>
  <c r="C149" i="5"/>
  <c r="A150" i="5"/>
  <c r="B150" i="5"/>
  <c r="C150" i="5"/>
  <c r="A151" i="5"/>
  <c r="B151" i="5"/>
  <c r="C151" i="5"/>
  <c r="A152" i="5"/>
  <c r="B152" i="5"/>
  <c r="C152" i="5"/>
  <c r="A153" i="5"/>
  <c r="B153" i="5"/>
  <c r="C153" i="5"/>
  <c r="A154" i="5"/>
  <c r="B154" i="5"/>
  <c r="C154" i="5"/>
  <c r="A155" i="5"/>
  <c r="B155" i="5"/>
  <c r="C155" i="5"/>
  <c r="A156" i="5"/>
  <c r="B156" i="5"/>
  <c r="C156" i="5"/>
  <c r="A157" i="5"/>
  <c r="B157" i="5"/>
  <c r="C157" i="5"/>
  <c r="A158" i="5"/>
  <c r="B158" i="5"/>
  <c r="C158" i="5"/>
  <c r="A159" i="5"/>
  <c r="B159" i="5"/>
  <c r="C159" i="5"/>
  <c r="A160" i="5"/>
  <c r="B160" i="5"/>
  <c r="C160" i="5"/>
  <c r="A161" i="5"/>
  <c r="B161" i="5"/>
  <c r="C161" i="5"/>
  <c r="A162" i="5"/>
  <c r="B162" i="5"/>
  <c r="C162" i="5"/>
  <c r="A163" i="5"/>
  <c r="B163" i="5"/>
  <c r="C163" i="5"/>
  <c r="A164" i="5"/>
  <c r="B164" i="5"/>
  <c r="C164" i="5"/>
  <c r="A165" i="5"/>
  <c r="B165" i="5"/>
  <c r="C165" i="5"/>
  <c r="A166" i="5"/>
  <c r="B166" i="5"/>
  <c r="C166" i="5"/>
  <c r="A167" i="5"/>
  <c r="B167" i="5"/>
  <c r="C167" i="5"/>
  <c r="A168" i="5"/>
  <c r="B168" i="5"/>
  <c r="C168" i="5"/>
  <c r="A169" i="5"/>
  <c r="B169" i="5"/>
  <c r="C169" i="5"/>
  <c r="A170" i="5"/>
  <c r="B170" i="5"/>
  <c r="C170" i="5"/>
  <c r="A171" i="5"/>
  <c r="B171" i="5"/>
  <c r="C171" i="5"/>
  <c r="A172" i="5"/>
  <c r="B172" i="5"/>
  <c r="C172" i="5"/>
  <c r="A173" i="5"/>
  <c r="B173" i="5"/>
  <c r="C173" i="5"/>
  <c r="A174" i="5"/>
  <c r="B174" i="5"/>
  <c r="C174" i="5"/>
  <c r="A175" i="5"/>
  <c r="B175" i="5"/>
  <c r="C175" i="5"/>
  <c r="A176" i="5"/>
  <c r="B176" i="5"/>
  <c r="C176" i="5"/>
  <c r="A177" i="5"/>
  <c r="B177" i="5"/>
  <c r="C177" i="5"/>
  <c r="A178" i="5"/>
  <c r="B178" i="5"/>
  <c r="C178" i="5"/>
  <c r="A179" i="5"/>
  <c r="B179" i="5"/>
  <c r="C179" i="5"/>
  <c r="A180" i="5"/>
  <c r="B180" i="5"/>
  <c r="C180" i="5"/>
  <c r="A181" i="5"/>
  <c r="B181" i="5"/>
  <c r="C181" i="5"/>
  <c r="A182" i="5"/>
  <c r="B182" i="5"/>
  <c r="C182" i="5"/>
  <c r="A183" i="5"/>
  <c r="B183" i="5"/>
  <c r="C183" i="5"/>
  <c r="A184" i="5"/>
  <c r="B184" i="5"/>
  <c r="C184" i="5"/>
  <c r="A185" i="5"/>
  <c r="B185" i="5"/>
  <c r="C185" i="5"/>
  <c r="A186" i="5"/>
  <c r="B186" i="5"/>
  <c r="C186" i="5"/>
  <c r="A187" i="5"/>
  <c r="B187" i="5"/>
  <c r="C187" i="5"/>
  <c r="A188" i="5"/>
  <c r="B188" i="5"/>
  <c r="C188" i="5"/>
  <c r="A189" i="5"/>
  <c r="B189" i="5"/>
  <c r="C189" i="5"/>
  <c r="A190" i="5"/>
  <c r="B190" i="5"/>
  <c r="C190" i="5"/>
  <c r="A191" i="5"/>
  <c r="B191" i="5"/>
  <c r="C191" i="5"/>
  <c r="A192" i="5"/>
  <c r="B192" i="5"/>
  <c r="C192" i="5"/>
  <c r="A193" i="5"/>
  <c r="B193" i="5"/>
  <c r="C193" i="5"/>
  <c r="A194" i="5"/>
  <c r="B194" i="5"/>
  <c r="C194" i="5"/>
  <c r="A195" i="5"/>
  <c r="B195" i="5"/>
  <c r="C195" i="5"/>
  <c r="A196" i="5"/>
  <c r="B196" i="5"/>
  <c r="C196" i="5"/>
  <c r="A197" i="5"/>
  <c r="B197" i="5"/>
  <c r="C197" i="5"/>
  <c r="A198" i="5"/>
  <c r="B198" i="5"/>
  <c r="C198" i="5"/>
  <c r="A199" i="5"/>
  <c r="B199" i="5"/>
  <c r="C199" i="5"/>
  <c r="A200" i="5"/>
  <c r="B200" i="5"/>
  <c r="C200" i="5"/>
  <c r="A201" i="5"/>
  <c r="B201" i="5"/>
  <c r="C201" i="5"/>
  <c r="A202" i="5"/>
  <c r="B202" i="5"/>
  <c r="C202" i="5"/>
  <c r="A203" i="5"/>
  <c r="B203" i="5"/>
  <c r="C203" i="5"/>
  <c r="A204" i="5"/>
  <c r="B204" i="5"/>
  <c r="C204" i="5"/>
  <c r="A205" i="5"/>
  <c r="B205" i="5"/>
  <c r="C205" i="5"/>
  <c r="A206" i="5"/>
  <c r="B206" i="5"/>
  <c r="C206" i="5"/>
  <c r="A207" i="5"/>
  <c r="B207" i="5"/>
  <c r="C207" i="5"/>
  <c r="A208" i="5"/>
  <c r="B208" i="5"/>
  <c r="C208" i="5"/>
  <c r="A209" i="5"/>
  <c r="B209" i="5"/>
  <c r="C209" i="5"/>
  <c r="A210" i="5"/>
  <c r="B210" i="5"/>
  <c r="C210" i="5"/>
  <c r="A211" i="5"/>
  <c r="B211" i="5"/>
  <c r="C211" i="5"/>
  <c r="A212" i="5"/>
  <c r="B212" i="5"/>
  <c r="C212" i="5"/>
  <c r="A213" i="5"/>
  <c r="B213" i="5"/>
  <c r="C213" i="5"/>
  <c r="A214" i="5"/>
  <c r="B214" i="5"/>
  <c r="C214" i="5"/>
  <c r="A215" i="5"/>
  <c r="B215" i="5"/>
  <c r="C215" i="5"/>
  <c r="A216" i="5"/>
  <c r="B216" i="5"/>
  <c r="C216" i="5"/>
  <c r="A217" i="5"/>
  <c r="B217" i="5"/>
  <c r="C217" i="5"/>
  <c r="A218" i="5"/>
  <c r="B218" i="5"/>
  <c r="C218" i="5"/>
  <c r="A219" i="5"/>
  <c r="B219" i="5"/>
  <c r="C219" i="5"/>
  <c r="A220" i="5"/>
  <c r="B220" i="5"/>
  <c r="C220" i="5"/>
  <c r="A221" i="5"/>
  <c r="B221" i="5"/>
  <c r="C221" i="5"/>
  <c r="A222" i="5"/>
  <c r="B222" i="5"/>
  <c r="C222" i="5"/>
  <c r="A223" i="5"/>
  <c r="B223" i="5"/>
  <c r="C223" i="5"/>
  <c r="A224" i="5"/>
  <c r="B224" i="5"/>
  <c r="C224" i="5"/>
  <c r="A225" i="5"/>
  <c r="B225" i="5"/>
  <c r="C225" i="5"/>
  <c r="A226" i="5"/>
  <c r="B226" i="5"/>
  <c r="C226" i="5"/>
  <c r="A227" i="5"/>
  <c r="B227" i="5"/>
  <c r="C227" i="5"/>
  <c r="A228" i="5"/>
  <c r="B228" i="5"/>
  <c r="C228" i="5"/>
  <c r="A229" i="5"/>
  <c r="B229" i="5"/>
  <c r="C229" i="5"/>
  <c r="A230" i="5"/>
  <c r="B230" i="5"/>
  <c r="C230" i="5"/>
  <c r="A231" i="5"/>
  <c r="B231" i="5"/>
  <c r="C231" i="5"/>
  <c r="A232" i="5"/>
  <c r="B232" i="5"/>
  <c r="C232" i="5"/>
  <c r="A233" i="5"/>
  <c r="B233" i="5"/>
  <c r="C233" i="5"/>
  <c r="A234" i="5"/>
  <c r="B234" i="5"/>
  <c r="C234" i="5"/>
  <c r="A235" i="5"/>
  <c r="B235" i="5"/>
  <c r="C235" i="5"/>
  <c r="A236" i="5"/>
  <c r="B236" i="5"/>
  <c r="C236" i="5"/>
  <c r="A237" i="5"/>
  <c r="B237" i="5"/>
  <c r="C237" i="5"/>
  <c r="A238" i="5"/>
  <c r="B238" i="5"/>
  <c r="C238" i="5"/>
  <c r="A239" i="5"/>
  <c r="B239" i="5"/>
  <c r="C239" i="5"/>
  <c r="A240" i="5"/>
  <c r="B240" i="5"/>
  <c r="C240" i="5"/>
  <c r="A241" i="5"/>
  <c r="B241" i="5"/>
  <c r="C241" i="5"/>
  <c r="A242" i="5"/>
  <c r="B242" i="5"/>
  <c r="C242" i="5"/>
  <c r="A243" i="5"/>
  <c r="B243" i="5"/>
  <c r="C243" i="5"/>
  <c r="A244" i="5"/>
  <c r="B244" i="5"/>
  <c r="C244" i="5"/>
  <c r="A245" i="5"/>
  <c r="B245" i="5"/>
  <c r="C245" i="5"/>
  <c r="A246" i="5"/>
  <c r="B246" i="5"/>
  <c r="C246" i="5"/>
  <c r="A247" i="5"/>
  <c r="B247" i="5"/>
  <c r="C247" i="5"/>
  <c r="A248" i="5"/>
  <c r="B248" i="5"/>
  <c r="C248" i="5"/>
  <c r="A249" i="5"/>
  <c r="B249" i="5"/>
  <c r="C249" i="5"/>
  <c r="A250" i="5"/>
  <c r="B250" i="5"/>
  <c r="C250" i="5"/>
  <c r="A251" i="5"/>
  <c r="B251" i="5"/>
  <c r="C251" i="5"/>
  <c r="A252" i="5"/>
  <c r="B252" i="5"/>
  <c r="C252" i="5"/>
  <c r="A253" i="5"/>
  <c r="B253" i="5"/>
  <c r="C253" i="5"/>
  <c r="A254" i="5"/>
  <c r="B254" i="5"/>
  <c r="C254" i="5"/>
  <c r="A255" i="5"/>
  <c r="B255" i="5"/>
  <c r="C255" i="5"/>
  <c r="A256" i="5"/>
  <c r="B256" i="5"/>
  <c r="C256" i="5"/>
  <c r="A257" i="5"/>
  <c r="B257" i="5"/>
  <c r="C257" i="5"/>
  <c r="A258" i="5"/>
  <c r="B258" i="5"/>
  <c r="C258" i="5"/>
  <c r="B9" i="5"/>
  <c r="C9" i="5"/>
  <c r="A9" i="5"/>
  <c r="A10" i="4"/>
  <c r="B10" i="4"/>
  <c r="C10" i="4"/>
  <c r="A11" i="4"/>
  <c r="B11" i="4"/>
  <c r="C11" i="4"/>
  <c r="A12" i="4"/>
  <c r="B12" i="4"/>
  <c r="C12" i="4"/>
  <c r="A13" i="4"/>
  <c r="B13" i="4"/>
  <c r="C13" i="4"/>
  <c r="A14" i="4"/>
  <c r="B14" i="4"/>
  <c r="C14" i="4"/>
  <c r="A15" i="4"/>
  <c r="B15" i="4"/>
  <c r="C15" i="4"/>
  <c r="A16" i="4"/>
  <c r="B16" i="4"/>
  <c r="C16" i="4"/>
  <c r="A17" i="4"/>
  <c r="B17" i="4"/>
  <c r="C17" i="4"/>
  <c r="A18" i="4"/>
  <c r="B18" i="4"/>
  <c r="C18" i="4"/>
  <c r="A19" i="4"/>
  <c r="B19" i="4"/>
  <c r="C19" i="4"/>
  <c r="A20" i="4"/>
  <c r="B20" i="4"/>
  <c r="C20" i="4"/>
  <c r="A21" i="4"/>
  <c r="B21" i="4"/>
  <c r="C21" i="4"/>
  <c r="A22" i="4"/>
  <c r="B22" i="4"/>
  <c r="C22" i="4"/>
  <c r="A23" i="4"/>
  <c r="B23" i="4"/>
  <c r="C23" i="4"/>
  <c r="A24" i="4"/>
  <c r="B24" i="4"/>
  <c r="C24" i="4"/>
  <c r="A25" i="4"/>
  <c r="B25" i="4"/>
  <c r="C25" i="4"/>
  <c r="A26" i="4"/>
  <c r="B26" i="4"/>
  <c r="C26" i="4"/>
  <c r="A27" i="4"/>
  <c r="B27" i="4"/>
  <c r="C27" i="4"/>
  <c r="A28" i="4"/>
  <c r="B28" i="4"/>
  <c r="C28" i="4"/>
  <c r="A29" i="4"/>
  <c r="B29" i="4"/>
  <c r="C29" i="4"/>
  <c r="A30" i="4"/>
  <c r="B30" i="4"/>
  <c r="C30" i="4"/>
  <c r="A31" i="4"/>
  <c r="B31" i="4"/>
  <c r="C31" i="4"/>
  <c r="A32" i="4"/>
  <c r="B32" i="4"/>
  <c r="C32" i="4"/>
  <c r="A33" i="4"/>
  <c r="B33" i="4"/>
  <c r="C33" i="4"/>
  <c r="A34" i="4"/>
  <c r="B34" i="4"/>
  <c r="C34" i="4"/>
  <c r="A35" i="4"/>
  <c r="B35" i="4"/>
  <c r="C35" i="4"/>
  <c r="A36" i="4"/>
  <c r="B36" i="4"/>
  <c r="C36" i="4"/>
  <c r="A37" i="4"/>
  <c r="B37" i="4"/>
  <c r="C37" i="4"/>
  <c r="A38" i="4"/>
  <c r="B38" i="4"/>
  <c r="C38" i="4"/>
  <c r="A39" i="4"/>
  <c r="B39" i="4"/>
  <c r="C39" i="4"/>
  <c r="A40" i="4"/>
  <c r="B40" i="4"/>
  <c r="C40" i="4"/>
  <c r="A41" i="4"/>
  <c r="B41" i="4"/>
  <c r="C41" i="4"/>
  <c r="A42" i="4"/>
  <c r="B42" i="4"/>
  <c r="C42" i="4"/>
  <c r="A43" i="4"/>
  <c r="B43" i="4"/>
  <c r="C43" i="4"/>
  <c r="A44" i="4"/>
  <c r="B44" i="4"/>
  <c r="C44" i="4"/>
  <c r="A45" i="4"/>
  <c r="B45" i="4"/>
  <c r="C45" i="4"/>
  <c r="A46" i="4"/>
  <c r="B46" i="4"/>
  <c r="C46" i="4"/>
  <c r="A47" i="4"/>
  <c r="B47" i="4"/>
  <c r="C47" i="4"/>
  <c r="A48" i="4"/>
  <c r="B48" i="4"/>
  <c r="C48" i="4"/>
  <c r="A49" i="4"/>
  <c r="B49" i="4"/>
  <c r="C49" i="4"/>
  <c r="A50" i="4"/>
  <c r="B50" i="4"/>
  <c r="C50" i="4"/>
  <c r="A51" i="4"/>
  <c r="B51" i="4"/>
  <c r="C51" i="4"/>
  <c r="A52" i="4"/>
  <c r="B52" i="4"/>
  <c r="C52" i="4"/>
  <c r="A53" i="4"/>
  <c r="B53" i="4"/>
  <c r="C53" i="4"/>
  <c r="A54" i="4"/>
  <c r="B54" i="4"/>
  <c r="C54" i="4"/>
  <c r="A55" i="4"/>
  <c r="B55" i="4"/>
  <c r="C55" i="4"/>
  <c r="A56" i="4"/>
  <c r="B56" i="4"/>
  <c r="C56" i="4"/>
  <c r="A57" i="4"/>
  <c r="B57" i="4"/>
  <c r="C57" i="4"/>
  <c r="A58" i="4"/>
  <c r="B58" i="4"/>
  <c r="C58" i="4"/>
  <c r="A59" i="4"/>
  <c r="B59" i="4"/>
  <c r="C59" i="4"/>
  <c r="A60" i="4"/>
  <c r="B60" i="4"/>
  <c r="C60" i="4"/>
  <c r="A61" i="4"/>
  <c r="B61" i="4"/>
  <c r="C61" i="4"/>
  <c r="A62" i="4"/>
  <c r="B62" i="4"/>
  <c r="C62" i="4"/>
  <c r="A63" i="4"/>
  <c r="B63" i="4"/>
  <c r="C63" i="4"/>
  <c r="A64" i="4"/>
  <c r="B64" i="4"/>
  <c r="C64" i="4"/>
  <c r="A65" i="4"/>
  <c r="B65" i="4"/>
  <c r="C65" i="4"/>
  <c r="A66" i="4"/>
  <c r="B66" i="4"/>
  <c r="C66" i="4"/>
  <c r="A67" i="4"/>
  <c r="B67" i="4"/>
  <c r="C67" i="4"/>
  <c r="A68" i="4"/>
  <c r="B68" i="4"/>
  <c r="C68" i="4"/>
  <c r="A69" i="4"/>
  <c r="B69" i="4"/>
  <c r="C69" i="4"/>
  <c r="A70" i="4"/>
  <c r="B70" i="4"/>
  <c r="C70" i="4"/>
  <c r="A71" i="4"/>
  <c r="B71" i="4"/>
  <c r="C71" i="4"/>
  <c r="A72" i="4"/>
  <c r="B72" i="4"/>
  <c r="C72" i="4"/>
  <c r="A73" i="4"/>
  <c r="B73" i="4"/>
  <c r="C73" i="4"/>
  <c r="A74" i="4"/>
  <c r="B74" i="4"/>
  <c r="C74" i="4"/>
  <c r="A75" i="4"/>
  <c r="B75" i="4"/>
  <c r="C75" i="4"/>
  <c r="A76" i="4"/>
  <c r="B76" i="4"/>
  <c r="C76" i="4"/>
  <c r="A77" i="4"/>
  <c r="B77" i="4"/>
  <c r="C77" i="4"/>
  <c r="A78" i="4"/>
  <c r="B78" i="4"/>
  <c r="C78" i="4"/>
  <c r="A79" i="4"/>
  <c r="B79" i="4"/>
  <c r="C79" i="4"/>
  <c r="A80" i="4"/>
  <c r="B80" i="4"/>
  <c r="C80" i="4"/>
  <c r="A81" i="4"/>
  <c r="B81" i="4"/>
  <c r="C81" i="4"/>
  <c r="A82" i="4"/>
  <c r="B82" i="4"/>
  <c r="C82" i="4"/>
  <c r="A83" i="4"/>
  <c r="B83" i="4"/>
  <c r="C83" i="4"/>
  <c r="A84" i="4"/>
  <c r="B84" i="4"/>
  <c r="C84" i="4"/>
  <c r="A85" i="4"/>
  <c r="B85" i="4"/>
  <c r="C85" i="4"/>
  <c r="A86" i="4"/>
  <c r="B86" i="4"/>
  <c r="C86" i="4"/>
  <c r="A87" i="4"/>
  <c r="B87" i="4"/>
  <c r="C87" i="4"/>
  <c r="A88" i="4"/>
  <c r="B88" i="4"/>
  <c r="C88" i="4"/>
  <c r="A89" i="4"/>
  <c r="B89" i="4"/>
  <c r="C89" i="4"/>
  <c r="A90" i="4"/>
  <c r="B90" i="4"/>
  <c r="C90" i="4"/>
  <c r="A91" i="4"/>
  <c r="B91" i="4"/>
  <c r="C91" i="4"/>
  <c r="A92" i="4"/>
  <c r="B92" i="4"/>
  <c r="C92" i="4"/>
  <c r="A93" i="4"/>
  <c r="B93" i="4"/>
  <c r="C93" i="4"/>
  <c r="A94" i="4"/>
  <c r="B94" i="4"/>
  <c r="C94" i="4"/>
  <c r="A95" i="4"/>
  <c r="B95" i="4"/>
  <c r="C95" i="4"/>
  <c r="A96" i="4"/>
  <c r="B96" i="4"/>
  <c r="C96" i="4"/>
  <c r="A97" i="4"/>
  <c r="B97" i="4"/>
  <c r="C97" i="4"/>
  <c r="A98" i="4"/>
  <c r="B98" i="4"/>
  <c r="C98" i="4"/>
  <c r="A99" i="4"/>
  <c r="B99" i="4"/>
  <c r="C99" i="4"/>
  <c r="A100" i="4"/>
  <c r="B100" i="4"/>
  <c r="C100" i="4"/>
  <c r="A101" i="4"/>
  <c r="B101" i="4"/>
  <c r="C101" i="4"/>
  <c r="A102" i="4"/>
  <c r="B102" i="4"/>
  <c r="C102" i="4"/>
  <c r="A103" i="4"/>
  <c r="B103" i="4"/>
  <c r="C103" i="4"/>
  <c r="A104" i="4"/>
  <c r="B104" i="4"/>
  <c r="C104" i="4"/>
  <c r="A105" i="4"/>
  <c r="B105" i="4"/>
  <c r="C105" i="4"/>
  <c r="A106" i="4"/>
  <c r="B106" i="4"/>
  <c r="C106" i="4"/>
  <c r="A107" i="4"/>
  <c r="B107" i="4"/>
  <c r="C107" i="4"/>
  <c r="A108" i="4"/>
  <c r="B108" i="4"/>
  <c r="C108" i="4"/>
  <c r="A109" i="4"/>
  <c r="B109" i="4"/>
  <c r="C109" i="4"/>
  <c r="A110" i="4"/>
  <c r="B110" i="4"/>
  <c r="C110" i="4"/>
  <c r="A111" i="4"/>
  <c r="B111" i="4"/>
  <c r="C111" i="4"/>
  <c r="A112" i="4"/>
  <c r="B112" i="4"/>
  <c r="C112" i="4"/>
  <c r="A113" i="4"/>
  <c r="B113" i="4"/>
  <c r="C113" i="4"/>
  <c r="A114" i="4"/>
  <c r="B114" i="4"/>
  <c r="C114" i="4"/>
  <c r="A115" i="4"/>
  <c r="B115" i="4"/>
  <c r="C115" i="4"/>
  <c r="A116" i="4"/>
  <c r="B116" i="4"/>
  <c r="C116" i="4"/>
  <c r="A117" i="4"/>
  <c r="B117" i="4"/>
  <c r="C117" i="4"/>
  <c r="A118" i="4"/>
  <c r="B118" i="4"/>
  <c r="C118" i="4"/>
  <c r="A119" i="4"/>
  <c r="B119" i="4"/>
  <c r="C119" i="4"/>
  <c r="A120" i="4"/>
  <c r="B120" i="4"/>
  <c r="C120" i="4"/>
  <c r="A121" i="4"/>
  <c r="B121" i="4"/>
  <c r="C121" i="4"/>
  <c r="A122" i="4"/>
  <c r="B122" i="4"/>
  <c r="C122" i="4"/>
  <c r="A123" i="4"/>
  <c r="B123" i="4"/>
  <c r="C123" i="4"/>
  <c r="A124" i="4"/>
  <c r="B124" i="4"/>
  <c r="C124" i="4"/>
  <c r="A125" i="4"/>
  <c r="B125" i="4"/>
  <c r="C125" i="4"/>
  <c r="A126" i="4"/>
  <c r="B126" i="4"/>
  <c r="C126" i="4"/>
  <c r="A127" i="4"/>
  <c r="B127" i="4"/>
  <c r="C127" i="4"/>
  <c r="A128" i="4"/>
  <c r="B128" i="4"/>
  <c r="C128" i="4"/>
  <c r="A129" i="4"/>
  <c r="B129" i="4"/>
  <c r="C129" i="4"/>
  <c r="A130" i="4"/>
  <c r="B130" i="4"/>
  <c r="C130" i="4"/>
  <c r="A131" i="4"/>
  <c r="B131" i="4"/>
  <c r="C131" i="4"/>
  <c r="A132" i="4"/>
  <c r="B132" i="4"/>
  <c r="C132" i="4"/>
  <c r="A133" i="4"/>
  <c r="B133" i="4"/>
  <c r="C133" i="4"/>
  <c r="A134" i="4"/>
  <c r="B134" i="4"/>
  <c r="C134" i="4"/>
  <c r="A135" i="4"/>
  <c r="B135" i="4"/>
  <c r="C135" i="4"/>
  <c r="A136" i="4"/>
  <c r="B136" i="4"/>
  <c r="C136" i="4"/>
  <c r="A137" i="4"/>
  <c r="B137" i="4"/>
  <c r="C137" i="4"/>
  <c r="A138" i="4"/>
  <c r="B138" i="4"/>
  <c r="C138" i="4"/>
  <c r="A139" i="4"/>
  <c r="B139" i="4"/>
  <c r="C139" i="4"/>
  <c r="A140" i="4"/>
  <c r="B140" i="4"/>
  <c r="C140" i="4"/>
  <c r="A141" i="4"/>
  <c r="B141" i="4"/>
  <c r="C141" i="4"/>
  <c r="A142" i="4"/>
  <c r="B142" i="4"/>
  <c r="C142" i="4"/>
  <c r="A143" i="4"/>
  <c r="B143" i="4"/>
  <c r="C143" i="4"/>
  <c r="A144" i="4"/>
  <c r="B144" i="4"/>
  <c r="C144" i="4"/>
  <c r="A145" i="4"/>
  <c r="B145" i="4"/>
  <c r="C145" i="4"/>
  <c r="A146" i="4"/>
  <c r="B146" i="4"/>
  <c r="C146" i="4"/>
  <c r="A147" i="4"/>
  <c r="B147" i="4"/>
  <c r="C147" i="4"/>
  <c r="A148" i="4"/>
  <c r="B148" i="4"/>
  <c r="C148" i="4"/>
  <c r="A149" i="4"/>
  <c r="B149" i="4"/>
  <c r="C149" i="4"/>
  <c r="A150" i="4"/>
  <c r="B150" i="4"/>
  <c r="C150" i="4"/>
  <c r="A151" i="4"/>
  <c r="B151" i="4"/>
  <c r="C151" i="4"/>
  <c r="A152" i="4"/>
  <c r="B152" i="4"/>
  <c r="C152" i="4"/>
  <c r="A153" i="4"/>
  <c r="B153" i="4"/>
  <c r="C153" i="4"/>
  <c r="A154" i="4"/>
  <c r="B154" i="4"/>
  <c r="C154" i="4"/>
  <c r="A155" i="4"/>
  <c r="B155" i="4"/>
  <c r="C155" i="4"/>
  <c r="A156" i="4"/>
  <c r="B156" i="4"/>
  <c r="C156" i="4"/>
  <c r="A157" i="4"/>
  <c r="B157" i="4"/>
  <c r="C157" i="4"/>
  <c r="A158" i="4"/>
  <c r="B158" i="4"/>
  <c r="C158" i="4"/>
  <c r="A159" i="4"/>
  <c r="B159" i="4"/>
  <c r="C159" i="4"/>
  <c r="A160" i="4"/>
  <c r="B160" i="4"/>
  <c r="C160" i="4"/>
  <c r="A161" i="4"/>
  <c r="B161" i="4"/>
  <c r="C161" i="4"/>
  <c r="A162" i="4"/>
  <c r="B162" i="4"/>
  <c r="C162" i="4"/>
  <c r="A163" i="4"/>
  <c r="B163" i="4"/>
  <c r="C163" i="4"/>
  <c r="A164" i="4"/>
  <c r="B164" i="4"/>
  <c r="C164" i="4"/>
  <c r="A165" i="4"/>
  <c r="B165" i="4"/>
  <c r="C165" i="4"/>
  <c r="A166" i="4"/>
  <c r="B166" i="4"/>
  <c r="C166" i="4"/>
  <c r="A167" i="4"/>
  <c r="B167" i="4"/>
  <c r="C167" i="4"/>
  <c r="A168" i="4"/>
  <c r="B168" i="4"/>
  <c r="C168" i="4"/>
  <c r="A169" i="4"/>
  <c r="B169" i="4"/>
  <c r="C169" i="4"/>
  <c r="A170" i="4"/>
  <c r="B170" i="4"/>
  <c r="C170" i="4"/>
  <c r="A171" i="4"/>
  <c r="B171" i="4"/>
  <c r="C171" i="4"/>
  <c r="A172" i="4"/>
  <c r="B172" i="4"/>
  <c r="C172" i="4"/>
  <c r="A173" i="4"/>
  <c r="B173" i="4"/>
  <c r="C173" i="4"/>
  <c r="A174" i="4"/>
  <c r="B174" i="4"/>
  <c r="C174" i="4"/>
  <c r="A175" i="4"/>
  <c r="B175" i="4"/>
  <c r="C175" i="4"/>
  <c r="A176" i="4"/>
  <c r="B176" i="4"/>
  <c r="C176" i="4"/>
  <c r="A177" i="4"/>
  <c r="B177" i="4"/>
  <c r="C177" i="4"/>
  <c r="A178" i="4"/>
  <c r="B178" i="4"/>
  <c r="C178" i="4"/>
  <c r="A179" i="4"/>
  <c r="B179" i="4"/>
  <c r="C179" i="4"/>
  <c r="A180" i="4"/>
  <c r="B180" i="4"/>
  <c r="C180" i="4"/>
  <c r="A181" i="4"/>
  <c r="B181" i="4"/>
  <c r="C181" i="4"/>
  <c r="A182" i="4"/>
  <c r="B182" i="4"/>
  <c r="C182" i="4"/>
  <c r="A183" i="4"/>
  <c r="B183" i="4"/>
  <c r="C183" i="4"/>
  <c r="A184" i="4"/>
  <c r="B184" i="4"/>
  <c r="C184" i="4"/>
  <c r="A185" i="4"/>
  <c r="B185" i="4"/>
  <c r="C185" i="4"/>
  <c r="A186" i="4"/>
  <c r="B186" i="4"/>
  <c r="C186" i="4"/>
  <c r="A187" i="4"/>
  <c r="B187" i="4"/>
  <c r="C187" i="4"/>
  <c r="A188" i="4"/>
  <c r="B188" i="4"/>
  <c r="C188" i="4"/>
  <c r="A189" i="4"/>
  <c r="B189" i="4"/>
  <c r="C189" i="4"/>
  <c r="A190" i="4"/>
  <c r="B190" i="4"/>
  <c r="C190" i="4"/>
  <c r="A191" i="4"/>
  <c r="B191" i="4"/>
  <c r="C191" i="4"/>
  <c r="A192" i="4"/>
  <c r="B192" i="4"/>
  <c r="C192" i="4"/>
  <c r="A193" i="4"/>
  <c r="B193" i="4"/>
  <c r="C193" i="4"/>
  <c r="A194" i="4"/>
  <c r="B194" i="4"/>
  <c r="C194" i="4"/>
  <c r="A195" i="4"/>
  <c r="B195" i="4"/>
  <c r="C195" i="4"/>
  <c r="A196" i="4"/>
  <c r="B196" i="4"/>
  <c r="C196" i="4"/>
  <c r="A197" i="4"/>
  <c r="B197" i="4"/>
  <c r="C197" i="4"/>
  <c r="A198" i="4"/>
  <c r="B198" i="4"/>
  <c r="C198" i="4"/>
  <c r="A199" i="4"/>
  <c r="B199" i="4"/>
  <c r="C199" i="4"/>
  <c r="A200" i="4"/>
  <c r="B200" i="4"/>
  <c r="C200" i="4"/>
  <c r="A201" i="4"/>
  <c r="B201" i="4"/>
  <c r="C201" i="4"/>
  <c r="A202" i="4"/>
  <c r="B202" i="4"/>
  <c r="C202" i="4"/>
  <c r="A203" i="4"/>
  <c r="B203" i="4"/>
  <c r="C203" i="4"/>
  <c r="A204" i="4"/>
  <c r="B204" i="4"/>
  <c r="C204" i="4"/>
  <c r="A205" i="4"/>
  <c r="B205" i="4"/>
  <c r="C205" i="4"/>
  <c r="A206" i="4"/>
  <c r="B206" i="4"/>
  <c r="C206" i="4"/>
  <c r="A207" i="4"/>
  <c r="B207" i="4"/>
  <c r="C207" i="4"/>
  <c r="A208" i="4"/>
  <c r="B208" i="4"/>
  <c r="C208" i="4"/>
  <c r="A209" i="4"/>
  <c r="B209" i="4"/>
  <c r="C209" i="4"/>
  <c r="A210" i="4"/>
  <c r="B210" i="4"/>
  <c r="C210" i="4"/>
  <c r="A211" i="4"/>
  <c r="B211" i="4"/>
  <c r="C211" i="4"/>
  <c r="A212" i="4"/>
  <c r="B212" i="4"/>
  <c r="C212" i="4"/>
  <c r="A213" i="4"/>
  <c r="B213" i="4"/>
  <c r="C213" i="4"/>
  <c r="A214" i="4"/>
  <c r="B214" i="4"/>
  <c r="C214" i="4"/>
  <c r="A215" i="4"/>
  <c r="B215" i="4"/>
  <c r="C215" i="4"/>
  <c r="A216" i="4"/>
  <c r="B216" i="4"/>
  <c r="C216" i="4"/>
  <c r="A217" i="4"/>
  <c r="B217" i="4"/>
  <c r="C217" i="4"/>
  <c r="A218" i="4"/>
  <c r="B218" i="4"/>
  <c r="C218" i="4"/>
  <c r="A219" i="4"/>
  <c r="B219" i="4"/>
  <c r="C219" i="4"/>
  <c r="A220" i="4"/>
  <c r="B220" i="4"/>
  <c r="C220" i="4"/>
  <c r="A221" i="4"/>
  <c r="B221" i="4"/>
  <c r="C221" i="4"/>
  <c r="A222" i="4"/>
  <c r="B222" i="4"/>
  <c r="C222" i="4"/>
  <c r="A223" i="4"/>
  <c r="B223" i="4"/>
  <c r="C223" i="4"/>
  <c r="A224" i="4"/>
  <c r="B224" i="4"/>
  <c r="C224" i="4"/>
  <c r="A225" i="4"/>
  <c r="B225" i="4"/>
  <c r="C225" i="4"/>
  <c r="A226" i="4"/>
  <c r="B226" i="4"/>
  <c r="C226" i="4"/>
  <c r="A227" i="4"/>
  <c r="B227" i="4"/>
  <c r="C227" i="4"/>
  <c r="A228" i="4"/>
  <c r="B228" i="4"/>
  <c r="C228" i="4"/>
  <c r="A229" i="4"/>
  <c r="B229" i="4"/>
  <c r="C229" i="4"/>
  <c r="A230" i="4"/>
  <c r="B230" i="4"/>
  <c r="C230" i="4"/>
  <c r="A231" i="4"/>
  <c r="B231" i="4"/>
  <c r="C231" i="4"/>
  <c r="A232" i="4"/>
  <c r="B232" i="4"/>
  <c r="C232" i="4"/>
  <c r="A233" i="4"/>
  <c r="B233" i="4"/>
  <c r="C233" i="4"/>
  <c r="A234" i="4"/>
  <c r="B234" i="4"/>
  <c r="C234" i="4"/>
  <c r="A235" i="4"/>
  <c r="B235" i="4"/>
  <c r="C235" i="4"/>
  <c r="A236" i="4"/>
  <c r="B236" i="4"/>
  <c r="C236" i="4"/>
  <c r="A237" i="4"/>
  <c r="B237" i="4"/>
  <c r="C237" i="4"/>
  <c r="A238" i="4"/>
  <c r="B238" i="4"/>
  <c r="C238" i="4"/>
  <c r="A239" i="4"/>
  <c r="B239" i="4"/>
  <c r="C239" i="4"/>
  <c r="A240" i="4"/>
  <c r="B240" i="4"/>
  <c r="C240" i="4"/>
  <c r="A241" i="4"/>
  <c r="B241" i="4"/>
  <c r="C241" i="4"/>
  <c r="A242" i="4"/>
  <c r="B242" i="4"/>
  <c r="C242" i="4"/>
  <c r="A243" i="4"/>
  <c r="B243" i="4"/>
  <c r="C243" i="4"/>
  <c r="A244" i="4"/>
  <c r="B244" i="4"/>
  <c r="C244" i="4"/>
  <c r="A245" i="4"/>
  <c r="B245" i="4"/>
  <c r="C245" i="4"/>
  <c r="A246" i="4"/>
  <c r="B246" i="4"/>
  <c r="C246" i="4"/>
  <c r="A247" i="4"/>
  <c r="B247" i="4"/>
  <c r="C247" i="4"/>
  <c r="A248" i="4"/>
  <c r="B248" i="4"/>
  <c r="C248" i="4"/>
  <c r="A249" i="4"/>
  <c r="B249" i="4"/>
  <c r="C249" i="4"/>
  <c r="A250" i="4"/>
  <c r="B250" i="4"/>
  <c r="C250" i="4"/>
  <c r="A251" i="4"/>
  <c r="B251" i="4"/>
  <c r="C251" i="4"/>
  <c r="A252" i="4"/>
  <c r="B252" i="4"/>
  <c r="C252" i="4"/>
  <c r="A253" i="4"/>
  <c r="B253" i="4"/>
  <c r="C253" i="4"/>
  <c r="A254" i="4"/>
  <c r="B254" i="4"/>
  <c r="C254" i="4"/>
  <c r="A255" i="4"/>
  <c r="B255" i="4"/>
  <c r="C255" i="4"/>
  <c r="A256" i="4"/>
  <c r="B256" i="4"/>
  <c r="C256" i="4"/>
  <c r="A257" i="4"/>
  <c r="B257" i="4"/>
  <c r="C257" i="4"/>
  <c r="A258" i="4"/>
  <c r="B258" i="4"/>
  <c r="C258" i="4"/>
  <c r="B9" i="4"/>
  <c r="C9" i="4"/>
  <c r="A9" i="4"/>
  <c r="G3" i="7" l="1"/>
  <c r="G3" i="6"/>
  <c r="G3" i="5"/>
  <c r="G3" i="4" l="1"/>
  <c r="L10" i="4" l="1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9" i="4"/>
  <c r="G1" i="7"/>
  <c r="G1" i="6"/>
  <c r="G1" i="5"/>
  <c r="E259" i="4"/>
  <c r="F259" i="4"/>
  <c r="G259" i="4"/>
  <c r="H259" i="4"/>
  <c r="I259" i="4"/>
  <c r="D259" i="4"/>
  <c r="E259" i="5"/>
  <c r="F259" i="5"/>
  <c r="G259" i="5"/>
  <c r="H259" i="5"/>
  <c r="I259" i="5"/>
  <c r="J259" i="5"/>
  <c r="D259" i="5"/>
  <c r="E259" i="6"/>
  <c r="F259" i="6"/>
  <c r="G259" i="6"/>
  <c r="H259" i="6"/>
  <c r="D259" i="6"/>
  <c r="E258" i="7"/>
  <c r="F258" i="7"/>
  <c r="G258" i="7"/>
  <c r="D258" i="7"/>
  <c r="G2" i="4"/>
  <c r="G1" i="4"/>
  <c r="G2" i="5"/>
  <c r="G2" i="6"/>
  <c r="E268" i="1"/>
  <c r="F268" i="1"/>
  <c r="D268" i="1"/>
  <c r="G2" i="7"/>
  <c r="K259" i="4" l="1"/>
  <c r="L259" i="4"/>
  <c r="G268" i="1"/>
  <c r="H268" i="1"/>
  <c r="I268" i="1" l="1"/>
</calcChain>
</file>

<file path=xl/sharedStrings.xml><?xml version="1.0" encoding="utf-8"?>
<sst xmlns="http://schemas.openxmlformats.org/spreadsheetml/2006/main" count="144" uniqueCount="62">
  <si>
    <t>BUREAU NATIONAL</t>
  </si>
  <si>
    <t>INTERPROFESSIONNEL DE L'ARMAGNAC</t>
  </si>
  <si>
    <t>Date :</t>
  </si>
  <si>
    <t>Lieu :</t>
  </si>
  <si>
    <t xml:space="preserve">Signature : </t>
  </si>
  <si>
    <t>DECLARATION DE STOCKS</t>
  </si>
  <si>
    <t>ET DE MOUVEMENTS</t>
  </si>
  <si>
    <t>A retourner au plus tard le 5 du mois suivant la déclaration</t>
  </si>
  <si>
    <t>Millésime ou Dénomination</t>
  </si>
  <si>
    <t>Clé</t>
  </si>
  <si>
    <t>Cpte Age</t>
  </si>
  <si>
    <t>STOCK DEBUT DE MOIS</t>
  </si>
  <si>
    <t>RECAPITULATIF ENTREES</t>
  </si>
  <si>
    <t>SORTIES</t>
  </si>
  <si>
    <t>STOCK FIN DE MOIS</t>
  </si>
  <si>
    <t>Achats à la propriété (Producteurs et Caves Coop)</t>
  </si>
  <si>
    <t>Achats au négoce</t>
  </si>
  <si>
    <t>Total mouvements entrées (calculé)</t>
  </si>
  <si>
    <t>Total mouvements et ventes (calculé)</t>
  </si>
  <si>
    <t>N° ressortissant</t>
  </si>
  <si>
    <t>Nom ou Raison Sociale</t>
  </si>
  <si>
    <t>Total</t>
  </si>
  <si>
    <t>base cotisation</t>
  </si>
  <si>
    <t>NON</t>
  </si>
  <si>
    <t>* la colonne pertes sur inventaire doit indiquer le détail du volume recensé dans la déclaration d'inventaire annuel (DIA) déposée aux Douanes au cours de la période de référence.</t>
  </si>
  <si>
    <t>Légende de la clé : M : Millésime - N : Non Millésime - V : Verre - B : sous bois</t>
  </si>
  <si>
    <t>MOUVEMENTS EN ENTREE</t>
  </si>
  <si>
    <t>Distillation propre</t>
  </si>
  <si>
    <t>Passage sous bois/sous verre</t>
  </si>
  <si>
    <t>Assemblages, Coupes</t>
  </si>
  <si>
    <t>TRANSFERT CHAI ARMAGNAC</t>
  </si>
  <si>
    <t>Région délimitée</t>
  </si>
  <si>
    <t>Hors région délimitée</t>
  </si>
  <si>
    <t>Réintégrations</t>
  </si>
  <si>
    <t>MOUVEMENTS EN SORTIE</t>
  </si>
  <si>
    <t>Page 2/5</t>
  </si>
  <si>
    <t>Page 3/5</t>
  </si>
  <si>
    <t>Pertes sur inventaire DIA du ../../..*</t>
  </si>
  <si>
    <t>FABRICATIONS</t>
  </si>
  <si>
    <t>Floc de Gascogne</t>
  </si>
  <si>
    <t>Autres fabrications</t>
  </si>
  <si>
    <t>OUI</t>
  </si>
  <si>
    <t>Page 4/5</t>
  </si>
  <si>
    <t>MARCHE INTERIEUR (Hors Chai Armagnac)</t>
  </si>
  <si>
    <t>NEGOCE (Chai Armagnac)</t>
  </si>
  <si>
    <t>Bouteilles</t>
  </si>
  <si>
    <r>
      <t>Vrac</t>
    </r>
    <r>
      <rPr>
        <sz val="6"/>
        <color theme="1"/>
        <rFont val="Calibri"/>
        <family val="2"/>
        <scheme val="minor"/>
      </rPr>
      <t xml:space="preserve"> destiné  à la mise en bouteille Armagnac</t>
    </r>
  </si>
  <si>
    <t>Brandies…</t>
  </si>
  <si>
    <t xml:space="preserve">VENTES EN FRANCE </t>
  </si>
  <si>
    <t>VENTES A L'EXPORTATION</t>
  </si>
  <si>
    <t>VINS VINES</t>
  </si>
  <si>
    <t>Page 5/5</t>
  </si>
  <si>
    <t xml:space="preserve">      RECAPITULATIF DES STOCKS ET MOUVEMENTS</t>
  </si>
  <si>
    <r>
      <t>en Hl</t>
    </r>
    <r>
      <rPr>
        <b/>
        <sz val="14"/>
        <color theme="1"/>
        <rFont val="Calibri"/>
        <family val="2"/>
        <scheme val="minor"/>
      </rPr>
      <t>.</t>
    </r>
    <r>
      <rPr>
        <b/>
        <sz val="12"/>
        <color theme="1"/>
        <rFont val="Calibri"/>
        <family val="2"/>
        <scheme val="minor"/>
      </rPr>
      <t>l,cl</t>
    </r>
  </si>
  <si>
    <t>MOIS ANNEE</t>
  </si>
  <si>
    <t>Maison du Vignoble Gascogne Armagnac</t>
  </si>
  <si>
    <t>Lieu-dit "Estère" - 1330 Route de Manciet - 32800 EAUZE</t>
  </si>
  <si>
    <t>TEL : 05 62 08 11 00 - Mel : contributeurs@armagnac.fr</t>
  </si>
  <si>
    <t>Site : www.armagnac.fr</t>
  </si>
  <si>
    <t>Brandies</t>
  </si>
  <si>
    <t>Vins vinés, Fabrications autres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</si>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</sst>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\.00.00"/>
    <numFmt numFmtId="165" formatCode="###0\.00.00"/>
  </numFmts>
  <fonts count="1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2">
    <border>
      <left/>
      <right/>
      <top/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hair">
        <color theme="0" tint="-0.24994659260841701"/>
      </bottom>
      <diagonal/>
    </border>
    <border>
      <left style="thin">
        <color theme="1" tint="0.499984740745262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theme="1" tint="0.499984740745262"/>
      </top>
      <bottom style="hair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theme="0" tint="-0.24994659260841701"/>
      </left>
      <right/>
      <top style="thin">
        <color theme="1" tint="0.499984740745262"/>
      </top>
      <bottom style="hair">
        <color theme="0" tint="-0.24994659260841701"/>
      </bottom>
      <diagonal/>
    </border>
    <border>
      <left/>
      <right style="medium">
        <color theme="0" tint="-0.24994659260841701"/>
      </right>
      <top style="thin">
        <color theme="1" tint="0.499984740745262"/>
      </top>
      <bottom style="hair">
        <color theme="0" tint="-0.24994659260841701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hair">
        <color theme="0" tint="-0.24994659260841701"/>
      </right>
      <top style="thin">
        <color theme="1" tint="0.499984740745262"/>
      </top>
      <bottom/>
      <diagonal/>
    </border>
    <border>
      <left style="thin">
        <color theme="0" tint="-0.24994659260841701"/>
      </left>
      <right style="hair">
        <color theme="0" tint="-0.24994659260841701"/>
      </right>
      <top/>
      <bottom/>
      <diagonal/>
    </border>
    <border>
      <left style="thin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thin">
        <color theme="1" tint="0.499984740745262"/>
      </top>
      <bottom/>
      <diagonal/>
    </border>
    <border>
      <left style="hair">
        <color theme="0" tint="-0.24994659260841701"/>
      </left>
      <right style="thin">
        <color theme="0" tint="-0.24994659260841701"/>
      </right>
      <top/>
      <bottom/>
      <diagonal/>
    </border>
    <border>
      <left style="hair">
        <color theme="0" tint="-0.24994659260841701"/>
      </left>
      <right style="thin">
        <color theme="0" tint="-0.24994659260841701"/>
      </right>
      <top/>
      <bottom style="hair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1" tint="0.499984740745262"/>
      </top>
      <bottom/>
      <diagonal/>
    </border>
    <border>
      <left style="thin">
        <color theme="0" tint="-0.24994659260841701"/>
      </left>
      <right style="medium">
        <color theme="0" tint="-0.24994659260841701"/>
      </right>
      <top/>
      <bottom style="hair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theme="1" tint="0.499984740745262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 style="hair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medium">
        <color theme="0" tint="-0.24994659260841701"/>
      </right>
      <top style="hair">
        <color theme="0" tint="-0.24994659260841701"/>
      </top>
      <bottom/>
      <diagonal/>
    </border>
    <border>
      <left style="thin">
        <color theme="1" tint="0.499984740745262"/>
      </left>
      <right/>
      <top/>
      <bottom style="hair">
        <color theme="0" tint="-0.24994659260841701"/>
      </bottom>
      <diagonal/>
    </border>
    <border>
      <left/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/>
      <top/>
      <bottom style="hair">
        <color theme="0" tint="-0.24994659260841701"/>
      </bottom>
      <diagonal/>
    </border>
    <border>
      <left style="thin">
        <color theme="1" tint="0.499984740745262"/>
      </left>
      <right style="thin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/>
      <bottom style="medium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hair">
        <color theme="0" tint="-0.24994659260841701"/>
      </top>
      <bottom style="medium">
        <color theme="0" tint="-0.2499465926084170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medium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medium">
        <color theme="0" tint="-0.24994659260841701"/>
      </bottom>
      <diagonal/>
    </border>
    <border>
      <left style="hair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hair">
        <color theme="0" tint="-0.24994659260841701"/>
      </top>
      <bottom style="medium">
        <color theme="0" tint="-0.24994659260841701"/>
      </bottom>
      <diagonal/>
    </border>
    <border>
      <left style="thin">
        <color theme="1" tint="0.499984740745262"/>
      </left>
      <right/>
      <top style="hair">
        <color theme="0" tint="-0.24994659260841701"/>
      </top>
      <bottom/>
      <diagonal/>
    </border>
    <border>
      <left style="thin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theme="0" tint="-0.24994659260841701"/>
      </right>
      <top style="hair">
        <color theme="0" tint="-0.24994659260841701"/>
      </top>
      <bottom/>
      <diagonal/>
    </border>
    <border>
      <left style="thin">
        <color theme="0" tint="-0.24994659260841701"/>
      </left>
      <right style="medium">
        <color theme="0" tint="-0.24994659260841701"/>
      </right>
      <top style="hair">
        <color theme="0" tint="-0.24994659260841701"/>
      </top>
      <bottom/>
      <diagonal/>
    </border>
    <border>
      <left/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/>
      <top style="hair">
        <color theme="0" tint="-0.24994659260841701"/>
      </top>
      <bottom/>
      <diagonal/>
    </border>
    <border>
      <left style="medium">
        <color theme="0" tint="-0.24994659260841701"/>
      </left>
      <right style="hair">
        <color theme="1" tint="0.499984740745262"/>
      </right>
      <top style="medium">
        <color theme="0" tint="-0.24994659260841701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medium">
        <color theme="0" tint="-0.24994659260841701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medium">
        <color theme="0" tint="-0.24994659260841701"/>
      </top>
      <bottom style="hair">
        <color theme="1" tint="0.499984740745262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hair">
        <color theme="1" tint="0.499984740745262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hair">
        <color theme="1" tint="0.499984740745262"/>
      </bottom>
      <diagonal/>
    </border>
    <border>
      <left style="medium">
        <color theme="0" tint="-0.24994659260841701"/>
      </left>
      <right style="hair">
        <color theme="1" tint="0.499984740745262"/>
      </right>
      <top style="hair">
        <color theme="1" tint="0.499984740745262"/>
      </top>
      <bottom style="medium">
        <color theme="0" tint="-0.2499465926084170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theme="0" tint="-0.24994659260841701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hair">
        <color theme="1" tint="0.499984740745262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hair">
        <color theme="1" tint="0.499984740745262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1" tint="0.499984740745262"/>
      </top>
      <bottom/>
      <diagonal/>
    </border>
    <border>
      <left/>
      <right style="medium">
        <color theme="0" tint="-0.24994659260841701"/>
      </right>
      <top/>
      <bottom style="hair">
        <color theme="0" tint="-0.24994659260841701"/>
      </bottom>
      <diagonal/>
    </border>
    <border>
      <left style="medium">
        <color theme="0" tint="-0.24994659260841701"/>
      </left>
      <right/>
      <top/>
      <bottom style="hair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theme="1" tint="0.499984740745262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/>
      <bottom style="hair">
        <color theme="0" tint="-0.24994659260841701"/>
      </bottom>
      <diagonal/>
    </border>
    <border>
      <left style="thin">
        <color theme="0" tint="-0.24994659260841701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/>
      <top style="hair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49998474074526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hair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hair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theme="1" tint="0.499984740745262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hair">
        <color theme="0" tint="-0.24994659260841701"/>
      </top>
      <bottom/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/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/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medium">
        <color theme="0" tint="-0.24994659260841701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1" tint="0.499984740745262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theme="0" tint="-0.24994659260841701"/>
      </top>
      <bottom style="hair">
        <color theme="1" tint="0.499984740745262"/>
      </bottom>
      <diagonal/>
    </border>
    <border>
      <left style="thin">
        <color theme="0" tint="-0.24994659260841701"/>
      </left>
      <right/>
      <top style="hair">
        <color theme="1" tint="0.499984740745262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thin">
        <color theme="1" tint="0.499984740745262"/>
      </top>
      <bottom style="thin">
        <color theme="0" tint="-0.24994659260841701"/>
      </bottom>
      <diagonal/>
    </border>
    <border>
      <left style="medium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hair">
        <color theme="0" tint="-0.24994659260841701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hair">
        <color theme="1" tint="0.499984740745262"/>
      </bottom>
      <diagonal/>
    </border>
    <border>
      <left style="medium">
        <color theme="0" tint="-0.24994659260841701"/>
      </left>
      <right/>
      <top style="hair">
        <color theme="1" tint="0.499984740745262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hair">
        <color theme="1" tint="0.499984740745262"/>
      </bottom>
      <diagonal/>
    </border>
    <border>
      <left style="thin">
        <color theme="0" tint="-0.24994659260841701"/>
      </left>
      <right style="medium">
        <color theme="0" tint="-0.24994659260841701"/>
      </right>
      <top style="hair">
        <color theme="1" tint="0.499984740745262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auto="1"/>
      </left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theme="0" tint="-0.24994659260841701"/>
      </left>
      <right/>
      <top/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0" borderId="0" xfId="0" applyFont="1"/>
    <xf numFmtId="0" fontId="0" fillId="0" borderId="6" xfId="0" applyBorder="1"/>
    <xf numFmtId="0" fontId="3" fillId="0" borderId="0" xfId="0" applyFont="1"/>
    <xf numFmtId="0" fontId="4" fillId="2" borderId="1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53" xfId="0" applyFill="1" applyBorder="1"/>
    <xf numFmtId="0" fontId="0" fillId="2" borderId="54" xfId="0" applyFill="1" applyBorder="1"/>
    <xf numFmtId="0" fontId="5" fillId="0" borderId="0" xfId="0" applyFont="1"/>
    <xf numFmtId="0" fontId="4" fillId="2" borderId="58" xfId="0" applyFont="1" applyFill="1" applyBorder="1"/>
    <xf numFmtId="0" fontId="4" fillId="2" borderId="59" xfId="0" applyFont="1" applyFill="1" applyBorder="1"/>
    <xf numFmtId="0" fontId="4" fillId="2" borderId="60" xfId="0" applyFont="1" applyFill="1" applyBorder="1"/>
    <xf numFmtId="0" fontId="4" fillId="2" borderId="61" xfId="0" applyFont="1" applyFill="1" applyBorder="1"/>
    <xf numFmtId="0" fontId="4" fillId="2" borderId="62" xfId="0" applyFont="1" applyFill="1" applyBorder="1"/>
    <xf numFmtId="0" fontId="4" fillId="0" borderId="0" xfId="0" applyFont="1"/>
    <xf numFmtId="0" fontId="5" fillId="2" borderId="40" xfId="0" applyFont="1" applyFill="1" applyBorder="1" applyAlignment="1">
      <alignment horizontal="center"/>
    </xf>
    <xf numFmtId="0" fontId="5" fillId="2" borderId="41" xfId="0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0" fontId="5" fillId="2" borderId="45" xfId="0" applyFont="1" applyFill="1" applyBorder="1" applyAlignment="1">
      <alignment horizontal="center"/>
    </xf>
    <xf numFmtId="0" fontId="0" fillId="2" borderId="0" xfId="0" applyFill="1"/>
    <xf numFmtId="0" fontId="5" fillId="2" borderId="70" xfId="0" applyFont="1" applyFill="1" applyBorder="1" applyAlignment="1">
      <alignment horizontal="center"/>
    </xf>
    <xf numFmtId="0" fontId="5" fillId="2" borderId="76" xfId="0" applyFont="1" applyFill="1" applyBorder="1" applyAlignment="1">
      <alignment horizontal="center"/>
    </xf>
    <xf numFmtId="0" fontId="4" fillId="2" borderId="81" xfId="0" applyFont="1" applyFill="1" applyBorder="1"/>
    <xf numFmtId="0" fontId="4" fillId="2" borderId="90" xfId="0" applyFont="1" applyFill="1" applyBorder="1"/>
    <xf numFmtId="0" fontId="5" fillId="2" borderId="83" xfId="0" applyFont="1" applyFill="1" applyBorder="1" applyAlignment="1">
      <alignment horizontal="center"/>
    </xf>
    <xf numFmtId="0" fontId="4" fillId="2" borderId="76" xfId="0" applyFont="1" applyFill="1" applyBorder="1" applyAlignment="1">
      <alignment horizontal="center" vertical="center" wrapText="1"/>
    </xf>
    <xf numFmtId="0" fontId="4" fillId="2" borderId="92" xfId="0" applyFont="1" applyFill="1" applyBorder="1" applyAlignment="1">
      <alignment vertical="center" wrapText="1"/>
    </xf>
    <xf numFmtId="0" fontId="4" fillId="2" borderId="91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5" fillId="0" borderId="0" xfId="0" applyFont="1" applyAlignment="1">
      <alignment horizontal="right"/>
    </xf>
    <xf numFmtId="0" fontId="4" fillId="2" borderId="95" xfId="0" applyFont="1" applyFill="1" applyBorder="1" applyAlignment="1">
      <alignment horizontal="center" vertical="center" wrapText="1"/>
    </xf>
    <xf numFmtId="0" fontId="4" fillId="2" borderId="97" xfId="0" applyFont="1" applyFill="1" applyBorder="1" applyAlignment="1">
      <alignment horizontal="center" vertical="center" wrapText="1"/>
    </xf>
    <xf numFmtId="0" fontId="4" fillId="2" borderId="99" xfId="0" applyFont="1" applyFill="1" applyBorder="1"/>
    <xf numFmtId="0" fontId="4" fillId="2" borderId="101" xfId="0" applyFont="1" applyFill="1" applyBorder="1" applyAlignment="1">
      <alignment horizontal="center" vertical="center" wrapText="1"/>
    </xf>
    <xf numFmtId="0" fontId="4" fillId="2" borderId="105" xfId="0" applyFont="1" applyFill="1" applyBorder="1"/>
    <xf numFmtId="0" fontId="2" fillId="0" borderId="0" xfId="0" applyFont="1" applyAlignment="1">
      <alignment horizontal="center"/>
    </xf>
    <xf numFmtId="0" fontId="4" fillId="2" borderId="66" xfId="0" applyFont="1" applyFill="1" applyBorder="1" applyAlignment="1">
      <alignment horizontal="center" vertical="center" wrapText="1"/>
    </xf>
    <xf numFmtId="0" fontId="4" fillId="2" borderId="107" xfId="0" applyFont="1" applyFill="1" applyBorder="1"/>
    <xf numFmtId="0" fontId="4" fillId="2" borderId="108" xfId="0" applyFont="1" applyFill="1" applyBorder="1" applyAlignment="1">
      <alignment horizontal="center" vertical="center" wrapText="1"/>
    </xf>
    <xf numFmtId="0" fontId="4" fillId="2" borderId="70" xfId="0" applyFont="1" applyFill="1" applyBorder="1" applyAlignment="1">
      <alignment horizontal="center"/>
    </xf>
    <xf numFmtId="0" fontId="4" fillId="2" borderId="76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10" fillId="0" borderId="0" xfId="0" applyFont="1"/>
    <xf numFmtId="0" fontId="4" fillId="2" borderId="86" xfId="0" applyFont="1" applyFill="1" applyBorder="1" applyAlignment="1">
      <alignment horizontal="center" vertical="center" wrapText="1"/>
    </xf>
    <xf numFmtId="0" fontId="5" fillId="0" borderId="46" xfId="0" applyFont="1" applyBorder="1" applyProtection="1">
      <protection locked="0"/>
    </xf>
    <xf numFmtId="0" fontId="5" fillId="0" borderId="47" xfId="0" applyFont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0" borderId="33" xfId="0" applyFont="1" applyBorder="1" applyProtection="1">
      <protection locked="0"/>
    </xf>
    <xf numFmtId="0" fontId="5" fillId="0" borderId="23" xfId="0" applyFont="1" applyBorder="1" applyProtection="1">
      <protection locked="0"/>
    </xf>
    <xf numFmtId="0" fontId="5" fillId="0" borderId="26" xfId="0" applyFont="1" applyBorder="1" applyProtection="1">
      <protection locked="0"/>
    </xf>
    <xf numFmtId="0" fontId="5" fillId="0" borderId="11" xfId="0" applyFont="1" applyBorder="1" applyProtection="1">
      <protection locked="0"/>
    </xf>
    <xf numFmtId="0" fontId="5" fillId="0" borderId="13" xfId="0" applyFont="1" applyBorder="1" applyProtection="1">
      <protection locked="0"/>
    </xf>
    <xf numFmtId="0" fontId="5" fillId="0" borderId="14" xfId="0" applyFont="1" applyBorder="1" applyProtection="1">
      <protection locked="0"/>
    </xf>
    <xf numFmtId="0" fontId="4" fillId="2" borderId="102" xfId="0" applyFont="1" applyFill="1" applyBorder="1" applyAlignment="1">
      <alignment horizontal="center" vertical="center" wrapText="1"/>
    </xf>
    <xf numFmtId="0" fontId="4" fillId="2" borderId="92" xfId="0" applyFont="1" applyFill="1" applyBorder="1" applyAlignment="1">
      <alignment horizontal="center" vertical="center" wrapText="1"/>
    </xf>
    <xf numFmtId="164" fontId="5" fillId="0" borderId="34" xfId="0" applyNumberFormat="1" applyFont="1" applyBorder="1" applyProtection="1">
      <protection locked="0"/>
    </xf>
    <xf numFmtId="164" fontId="5" fillId="0" borderId="35" xfId="0" applyNumberFormat="1" applyFont="1" applyBorder="1" applyProtection="1">
      <protection locked="0"/>
    </xf>
    <xf numFmtId="164" fontId="5" fillId="0" borderId="36" xfId="0" applyNumberFormat="1" applyFont="1" applyBorder="1"/>
    <xf numFmtId="164" fontId="5" fillId="0" borderId="30" xfId="0" applyNumberFormat="1" applyFont="1" applyBorder="1"/>
    <xf numFmtId="164" fontId="5" fillId="0" borderId="12" xfId="0" applyNumberFormat="1" applyFont="1" applyBorder="1" applyProtection="1">
      <protection locked="0"/>
    </xf>
    <xf numFmtId="164" fontId="5" fillId="0" borderId="1" xfId="0" applyNumberFormat="1" applyFont="1" applyBorder="1" applyProtection="1">
      <protection locked="0"/>
    </xf>
    <xf numFmtId="164" fontId="5" fillId="0" borderId="50" xfId="0" applyNumberFormat="1" applyFont="1" applyBorder="1" applyProtection="1">
      <protection locked="0"/>
    </xf>
    <xf numFmtId="164" fontId="5" fillId="0" borderId="51" xfId="0" applyNumberFormat="1" applyFont="1" applyBorder="1" applyProtection="1">
      <protection locked="0"/>
    </xf>
    <xf numFmtId="164" fontId="5" fillId="0" borderId="110" xfId="0" applyNumberFormat="1" applyFont="1" applyBorder="1"/>
    <xf numFmtId="164" fontId="5" fillId="0" borderId="52" xfId="0" applyNumberFormat="1" applyFont="1" applyBorder="1"/>
    <xf numFmtId="164" fontId="5" fillId="0" borderId="31" xfId="0" applyNumberFormat="1" applyFont="1" applyBorder="1"/>
    <xf numFmtId="164" fontId="5" fillId="0" borderId="71" xfId="0" applyNumberFormat="1" applyFont="1" applyBorder="1" applyProtection="1">
      <protection locked="0"/>
    </xf>
    <xf numFmtId="164" fontId="5" fillId="0" borderId="77" xfId="0" applyNumberFormat="1" applyFont="1" applyBorder="1" applyProtection="1">
      <protection locked="0"/>
    </xf>
    <xf numFmtId="164" fontId="5" fillId="0" borderId="87" xfId="0" applyNumberFormat="1" applyFont="1" applyBorder="1" applyProtection="1">
      <protection locked="0"/>
    </xf>
    <xf numFmtId="164" fontId="5" fillId="0" borderId="64" xfId="0" applyNumberFormat="1" applyFont="1" applyBorder="1" applyProtection="1">
      <protection locked="0"/>
    </xf>
    <xf numFmtId="164" fontId="5" fillId="0" borderId="72" xfId="0" applyNumberFormat="1" applyFont="1" applyBorder="1" applyProtection="1">
      <protection locked="0"/>
    </xf>
    <xf numFmtId="164" fontId="5" fillId="0" borderId="78" xfId="0" applyNumberFormat="1" applyFont="1" applyBorder="1" applyProtection="1">
      <protection locked="0"/>
    </xf>
    <xf numFmtId="164" fontId="5" fillId="0" borderId="88" xfId="0" applyNumberFormat="1" applyFont="1" applyBorder="1" applyProtection="1">
      <protection locked="0"/>
    </xf>
    <xf numFmtId="164" fontId="5" fillId="0" borderId="84" xfId="0" applyNumberFormat="1" applyFont="1" applyBorder="1" applyProtection="1">
      <protection locked="0"/>
    </xf>
    <xf numFmtId="164" fontId="5" fillId="0" borderId="73" xfId="0" applyNumberFormat="1" applyFont="1" applyBorder="1" applyProtection="1">
      <protection locked="0"/>
    </xf>
    <xf numFmtId="164" fontId="5" fillId="0" borderId="79" xfId="0" applyNumberFormat="1" applyFont="1" applyBorder="1" applyProtection="1">
      <protection locked="0"/>
    </xf>
    <xf numFmtId="164" fontId="5" fillId="0" borderId="85" xfId="0" applyNumberFormat="1" applyFont="1" applyBorder="1" applyProtection="1">
      <protection locked="0"/>
    </xf>
    <xf numFmtId="164" fontId="5" fillId="0" borderId="82" xfId="0" applyNumberFormat="1" applyFont="1" applyBorder="1" applyProtection="1">
      <protection locked="0"/>
    </xf>
    <xf numFmtId="164" fontId="5" fillId="2" borderId="55" xfId="0" applyNumberFormat="1" applyFont="1" applyFill="1" applyBorder="1"/>
    <xf numFmtId="164" fontId="5" fillId="2" borderId="80" xfId="0" applyNumberFormat="1" applyFont="1" applyFill="1" applyBorder="1"/>
    <xf numFmtId="164" fontId="5" fillId="2" borderId="89" xfId="0" applyNumberFormat="1" applyFont="1" applyFill="1" applyBorder="1"/>
    <xf numFmtId="164" fontId="5" fillId="2" borderId="57" xfId="0" applyNumberFormat="1" applyFont="1" applyFill="1" applyBorder="1"/>
    <xf numFmtId="164" fontId="5" fillId="0" borderId="65" xfId="0" applyNumberFormat="1" applyFont="1" applyBorder="1" applyProtection="1">
      <protection locked="0"/>
    </xf>
    <xf numFmtId="164" fontId="5" fillId="0" borderId="103" xfId="0" applyNumberFormat="1" applyFont="1" applyBorder="1" applyProtection="1">
      <protection locked="0"/>
    </xf>
    <xf numFmtId="164" fontId="5" fillId="2" borderId="98" xfId="0" applyNumberFormat="1" applyFont="1" applyFill="1" applyBorder="1"/>
    <xf numFmtId="164" fontId="5" fillId="2" borderId="104" xfId="0" applyNumberFormat="1" applyFont="1" applyFill="1" applyBorder="1"/>
    <xf numFmtId="164" fontId="5" fillId="0" borderId="28" xfId="0" applyNumberFormat="1" applyFont="1" applyBorder="1" applyProtection="1">
      <protection locked="0"/>
    </xf>
    <xf numFmtId="164" fontId="5" fillId="2" borderId="106" xfId="0" applyNumberFormat="1" applyFont="1" applyFill="1" applyBorder="1"/>
    <xf numFmtId="164" fontId="5" fillId="2" borderId="53" xfId="0" applyNumberFormat="1" applyFont="1" applyFill="1" applyBorder="1"/>
    <xf numFmtId="164" fontId="5" fillId="2" borderId="54" xfId="0" applyNumberFormat="1" applyFont="1" applyFill="1" applyBorder="1"/>
    <xf numFmtId="164" fontId="5" fillId="2" borderId="56" xfId="0" applyNumberFormat="1" applyFont="1" applyFill="1" applyBorder="1"/>
    <xf numFmtId="0" fontId="0" fillId="0" borderId="0" xfId="0" applyProtection="1">
      <protection locked="0"/>
    </xf>
    <xf numFmtId="0" fontId="2" fillId="0" borderId="8" xfId="0" applyFont="1" applyBorder="1" applyAlignment="1">
      <alignment horizontal="right"/>
    </xf>
    <xf numFmtId="164" fontId="13" fillId="0" borderId="111" xfId="0" applyNumberFormat="1" applyFont="1" applyBorder="1" applyProtection="1">
      <protection locked="0"/>
    </xf>
    <xf numFmtId="0" fontId="11" fillId="0" borderId="0" xfId="0" applyFont="1"/>
    <xf numFmtId="165" fontId="5" fillId="0" borderId="28" xfId="0" applyNumberFormat="1" applyFont="1" applyBorder="1"/>
    <xf numFmtId="165" fontId="5" fillId="0" borderId="16" xfId="0" applyNumberFormat="1" applyFont="1" applyBorder="1"/>
    <xf numFmtId="165" fontId="5" fillId="0" borderId="49" xfId="0" applyNumberFormat="1" applyFont="1" applyBorder="1"/>
    <xf numFmtId="0" fontId="0" fillId="0" borderId="4" xfId="0" applyBorder="1"/>
    <xf numFmtId="0" fontId="14" fillId="0" borderId="3" xfId="0" applyFont="1" applyBorder="1"/>
    <xf numFmtId="17" fontId="15" fillId="0" borderId="0" xfId="0" applyNumberFormat="1" applyFont="1"/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14" fillId="0" borderId="5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6" fillId="2" borderId="17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14" fillId="0" borderId="109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2" borderId="68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63" xfId="0" applyFont="1" applyFill="1" applyBorder="1" applyAlignment="1">
      <alignment horizontal="center" vertical="center" wrapText="1"/>
    </xf>
    <xf numFmtId="0" fontId="5" fillId="2" borderId="67" xfId="0" applyFont="1" applyFill="1" applyBorder="1" applyAlignment="1">
      <alignment horizontal="center" vertical="center" wrapText="1"/>
    </xf>
    <xf numFmtId="0" fontId="4" fillId="2" borderId="74" xfId="0" applyFont="1" applyFill="1" applyBorder="1" applyAlignment="1">
      <alignment horizontal="center" vertical="center" wrapText="1"/>
    </xf>
    <xf numFmtId="0" fontId="4" fillId="2" borderId="75" xfId="0" applyFont="1" applyFill="1" applyBorder="1" applyAlignment="1">
      <alignment horizontal="center" vertical="center" wrapText="1"/>
    </xf>
    <xf numFmtId="0" fontId="5" fillId="2" borderId="93" xfId="0" applyFont="1" applyFill="1" applyBorder="1" applyAlignment="1">
      <alignment horizontal="center" vertical="center" wrapText="1"/>
    </xf>
    <xf numFmtId="0" fontId="5" fillId="2" borderId="94" xfId="0" applyFont="1" applyFill="1" applyBorder="1" applyAlignment="1">
      <alignment horizontal="center" vertical="center" wrapText="1"/>
    </xf>
    <xf numFmtId="0" fontId="4" fillId="2" borderId="68" xfId="0" applyFont="1" applyFill="1" applyBorder="1" applyAlignment="1">
      <alignment horizontal="center" vertical="center" wrapText="1"/>
    </xf>
    <xf numFmtId="0" fontId="4" fillId="2" borderId="69" xfId="0" applyFont="1" applyFill="1" applyBorder="1" applyAlignment="1">
      <alignment horizontal="center" vertical="center" wrapText="1"/>
    </xf>
    <xf numFmtId="0" fontId="4" fillId="2" borderId="63" xfId="0" applyFont="1" applyFill="1" applyBorder="1" applyAlignment="1">
      <alignment horizontal="center" vertical="center" wrapText="1"/>
    </xf>
    <xf numFmtId="0" fontId="4" fillId="2" borderId="67" xfId="0" applyFont="1" applyFill="1" applyBorder="1" applyAlignment="1">
      <alignment horizontal="center" vertical="center" wrapText="1"/>
    </xf>
    <xf numFmtId="0" fontId="4" fillId="2" borderId="95" xfId="0" applyFont="1" applyFill="1" applyBorder="1" applyAlignment="1">
      <alignment horizontal="center" vertical="center" wrapText="1"/>
    </xf>
    <xf numFmtId="0" fontId="5" fillId="2" borderId="96" xfId="0" applyFont="1" applyFill="1" applyBorder="1" applyAlignment="1">
      <alignment horizontal="center" vertical="center" wrapText="1"/>
    </xf>
    <xf numFmtId="0" fontId="5" fillId="2" borderId="100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541020</xdr:colOff>
      <xdr:row>0</xdr:row>
      <xdr:rowOff>358140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B38F35C-E612-AD49-82EA-9677886D7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25980" cy="358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1"/>
  <sheetViews>
    <sheetView showGridLines="0" topLeftCell="A12" workbookViewId="0">
      <selection activeCell="G18" sqref="G18:I267"/>
    </sheetView>
  </sheetViews>
  <sheetFormatPr baseColWidth="10" defaultRowHeight="15" x14ac:dyDescent="0.2"/>
  <cols>
    <col min="1" max="1" width="13.1640625" customWidth="1"/>
    <col min="2" max="3" width="5" customWidth="1"/>
    <col min="4" max="9" width="12.5" customWidth="1"/>
  </cols>
  <sheetData>
    <row r="1" spans="1:9" ht="30.75" customHeight="1" x14ac:dyDescent="0.35">
      <c r="F1" s="132" t="s">
        <v>5</v>
      </c>
      <c r="G1" s="132"/>
      <c r="H1" s="132"/>
      <c r="I1" s="132"/>
    </row>
    <row r="2" spans="1:9" ht="21.75" customHeight="1" x14ac:dyDescent="0.35">
      <c r="A2" s="1" t="s">
        <v>0</v>
      </c>
      <c r="F2" s="132" t="s">
        <v>6</v>
      </c>
      <c r="G2" s="132"/>
      <c r="H2" s="132"/>
      <c r="I2" s="132"/>
    </row>
    <row r="3" spans="1:9" ht="13.5" customHeight="1" x14ac:dyDescent="0.2">
      <c r="A3" s="1" t="s">
        <v>1</v>
      </c>
      <c r="F3" s="133" t="s">
        <v>7</v>
      </c>
      <c r="G3" s="133"/>
      <c r="H3" s="133"/>
      <c r="I3" s="133"/>
    </row>
    <row r="4" spans="1:9" ht="11.25" customHeight="1" x14ac:dyDescent="0.2">
      <c r="A4" s="8" t="s">
        <v>55</v>
      </c>
      <c r="B4" s="3"/>
      <c r="C4" s="3"/>
    </row>
    <row r="5" spans="1:9" ht="11.25" customHeight="1" x14ac:dyDescent="0.2">
      <c r="A5" s="8" t="s">
        <v>56</v>
      </c>
      <c r="B5" s="3"/>
      <c r="C5" s="3"/>
      <c r="F5" s="42" t="s">
        <v>19</v>
      </c>
      <c r="G5" s="43"/>
      <c r="H5" s="102"/>
      <c r="I5" s="101"/>
    </row>
    <row r="6" spans="1:9" ht="11.25" customHeight="1" x14ac:dyDescent="0.2">
      <c r="A6" s="8" t="s">
        <v>57</v>
      </c>
      <c r="B6" s="3"/>
      <c r="C6" s="3"/>
      <c r="F6" s="44" t="s">
        <v>20</v>
      </c>
      <c r="I6" s="2"/>
    </row>
    <row r="7" spans="1:9" x14ac:dyDescent="0.2">
      <c r="A7" t="s">
        <v>58</v>
      </c>
      <c r="F7" s="131"/>
      <c r="G7" s="112"/>
      <c r="H7" s="112"/>
      <c r="I7" s="113"/>
    </row>
    <row r="8" spans="1:9" ht="16" x14ac:dyDescent="0.2">
      <c r="A8" s="103">
        <v>44197</v>
      </c>
      <c r="F8" s="111" t="s">
        <v>61</v>
      </c>
      <c r="G8" s="112"/>
      <c r="H8" s="112"/>
      <c r="I8" s="113"/>
    </row>
    <row r="9" spans="1:9" x14ac:dyDescent="0.2">
      <c r="F9" s="111"/>
      <c r="G9" s="112"/>
      <c r="H9" s="112"/>
      <c r="I9" s="113"/>
    </row>
    <row r="10" spans="1:9" x14ac:dyDescent="0.2">
      <c r="A10" s="94" t="s">
        <v>2</v>
      </c>
      <c r="B10" s="94"/>
      <c r="C10" s="94"/>
      <c r="D10" s="94" t="s">
        <v>4</v>
      </c>
      <c r="E10" s="94"/>
      <c r="F10" s="111" t="s">
        <v>61</v>
      </c>
      <c r="G10" s="112"/>
      <c r="H10" s="112"/>
      <c r="I10" s="113"/>
    </row>
    <row r="11" spans="1:9" x14ac:dyDescent="0.2">
      <c r="A11" s="94" t="s">
        <v>3</v>
      </c>
      <c r="B11" s="94"/>
      <c r="C11" s="94"/>
      <c r="D11" s="94"/>
      <c r="E11" s="94"/>
      <c r="F11" s="111" t="s">
        <v>61</v>
      </c>
      <c r="G11" s="112"/>
      <c r="H11" s="112"/>
      <c r="I11" s="113"/>
    </row>
    <row r="12" spans="1:9" x14ac:dyDescent="0.2">
      <c r="A12" s="94"/>
      <c r="B12" s="94"/>
      <c r="C12" s="94"/>
      <c r="D12" s="94"/>
      <c r="E12" s="94"/>
      <c r="F12" s="114"/>
      <c r="G12" s="115"/>
      <c r="H12" s="115"/>
      <c r="I12" s="116"/>
    </row>
    <row r="14" spans="1:9" ht="19" x14ac:dyDescent="0.25">
      <c r="A14" s="110" t="s">
        <v>52</v>
      </c>
      <c r="B14" s="110"/>
      <c r="C14" s="110"/>
      <c r="D14" s="110"/>
      <c r="E14" s="110"/>
      <c r="F14" s="110"/>
      <c r="G14" s="110"/>
      <c r="H14" s="110"/>
      <c r="I14" s="95" t="s">
        <v>53</v>
      </c>
    </row>
    <row r="15" spans="1:9" ht="18" customHeight="1" x14ac:dyDescent="0.2">
      <c r="A15" s="120" t="s">
        <v>8</v>
      </c>
      <c r="B15" s="123" t="s">
        <v>9</v>
      </c>
      <c r="C15" s="126" t="s">
        <v>10</v>
      </c>
      <c r="D15" s="129" t="s">
        <v>11</v>
      </c>
      <c r="E15" s="117" t="s">
        <v>12</v>
      </c>
      <c r="F15" s="118"/>
      <c r="G15" s="119"/>
      <c r="H15" s="41" t="s">
        <v>13</v>
      </c>
      <c r="I15" s="104" t="s">
        <v>14</v>
      </c>
    </row>
    <row r="16" spans="1:9" ht="36" x14ac:dyDescent="0.2">
      <c r="A16" s="121"/>
      <c r="B16" s="124"/>
      <c r="C16" s="127"/>
      <c r="D16" s="130"/>
      <c r="E16" s="4" t="s">
        <v>15</v>
      </c>
      <c r="F16" s="5" t="s">
        <v>16</v>
      </c>
      <c r="G16" s="108" t="s">
        <v>17</v>
      </c>
      <c r="H16" s="106" t="s">
        <v>18</v>
      </c>
      <c r="I16" s="105"/>
    </row>
    <row r="17" spans="1:10" ht="16" thickBot="1" x14ac:dyDescent="0.25">
      <c r="A17" s="122"/>
      <c r="B17" s="125"/>
      <c r="C17" s="128"/>
      <c r="D17" s="15">
        <v>1</v>
      </c>
      <c r="E17" s="16">
        <v>2</v>
      </c>
      <c r="F17" s="17">
        <v>3</v>
      </c>
      <c r="G17" s="109"/>
      <c r="H17" s="107"/>
      <c r="I17" s="18">
        <v>26</v>
      </c>
    </row>
    <row r="18" spans="1:10" x14ac:dyDescent="0.2">
      <c r="A18" s="50"/>
      <c r="B18" s="51"/>
      <c r="C18" s="52"/>
      <c r="D18" s="98"/>
      <c r="E18" s="58"/>
      <c r="F18" s="59"/>
      <c r="G18" s="60">
        <f>'MOUVEMENTS ENTREE'!D9+'MOUVEMENTS ENTREE'!E9+'MOUVEMENTS ENTREE'!F9+'MOUVEMENTS ENTREE'!G9+'MOUVEMENTS ENTREE'!H9+'MOUVEMENTS ENTREE'!I9</f>
        <v>0</v>
      </c>
      <c r="H18" s="61">
        <f>'MVMTS SORTIES &amp; FABRICATIONS'!D9+'MVMTS SORTIES &amp; FABRICATIONS'!E9+'MVMTS SORTIES &amp; FABRICATIONS'!F9+'MVMTS SORTIES &amp; FABRICATIONS'!G9+'MVMTS SORTIES &amp; FABRICATIONS'!H9+'MVMTS SORTIES &amp; FABRICATIONS'!I9+'MVMTS SORTIES &amp; FABRICATIONS'!J9+'VENTES FRANCE'!D9+'VENTES FRANCE'!E9+'VENTES FRANCE'!F9+'VENTES FRANCE'!G9+'VENTES FRANCE'!H9+'VENTES EXPORT &amp; VINS VINES'!D8+'VENTES EXPORT &amp; VINS VINES'!E8+'VENTES EXPORT &amp; VINS VINES'!F8+'VENTES EXPORT &amp; VINS VINES'!G8</f>
        <v>0</v>
      </c>
      <c r="I18" s="61">
        <f>D18+E18+F18+G18-H18</f>
        <v>0</v>
      </c>
      <c r="J18" s="96">
        <v>0</v>
      </c>
    </row>
    <row r="19" spans="1:10" x14ac:dyDescent="0.2">
      <c r="A19" s="50"/>
      <c r="B19" s="51"/>
      <c r="C19" s="52"/>
      <c r="D19" s="98"/>
      <c r="E19" s="58"/>
      <c r="F19" s="59"/>
      <c r="G19" s="60">
        <f>'MOUVEMENTS ENTREE'!D10+'MOUVEMENTS ENTREE'!E10+'MOUVEMENTS ENTREE'!F10+'MOUVEMENTS ENTREE'!G10+'MOUVEMENTS ENTREE'!H10+'MOUVEMENTS ENTREE'!I10</f>
        <v>0</v>
      </c>
      <c r="H19" s="61">
        <f>'MVMTS SORTIES &amp; FABRICATIONS'!D10+'MVMTS SORTIES &amp; FABRICATIONS'!E10+'MVMTS SORTIES &amp; FABRICATIONS'!F10+'MVMTS SORTIES &amp; FABRICATIONS'!G10+'MVMTS SORTIES &amp; FABRICATIONS'!H10+'MVMTS SORTIES &amp; FABRICATIONS'!I10+'MVMTS SORTIES &amp; FABRICATIONS'!J10+'VENTES FRANCE'!D10+'VENTES FRANCE'!E10+'VENTES FRANCE'!F10+'VENTES FRANCE'!G10+'VENTES FRANCE'!H10+'VENTES EXPORT &amp; VINS VINES'!D9+'VENTES EXPORT &amp; VINS VINES'!E9+'VENTES EXPORT &amp; VINS VINES'!F9+'VENTES EXPORT &amp; VINS VINES'!G9</f>
        <v>0</v>
      </c>
      <c r="I19" s="61">
        <f t="shared" ref="I19:I82" si="0">D19+E19+F19+G19-H19</f>
        <v>0</v>
      </c>
      <c r="J19" s="97">
        <v>0</v>
      </c>
    </row>
    <row r="20" spans="1:10" x14ac:dyDescent="0.2">
      <c r="A20" s="50"/>
      <c r="B20" s="51"/>
      <c r="C20" s="52"/>
      <c r="D20" s="98"/>
      <c r="E20" s="58"/>
      <c r="F20" s="59"/>
      <c r="G20" s="60">
        <f>'MOUVEMENTS ENTREE'!D11+'MOUVEMENTS ENTREE'!E11+'MOUVEMENTS ENTREE'!F11+'MOUVEMENTS ENTREE'!G11+'MOUVEMENTS ENTREE'!H11+'MOUVEMENTS ENTREE'!I11</f>
        <v>0</v>
      </c>
      <c r="H20" s="61">
        <f>'MVMTS SORTIES &amp; FABRICATIONS'!D11+'MVMTS SORTIES &amp; FABRICATIONS'!E11+'MVMTS SORTIES &amp; FABRICATIONS'!F11+'MVMTS SORTIES &amp; FABRICATIONS'!G11+'MVMTS SORTIES &amp; FABRICATIONS'!H11+'MVMTS SORTIES &amp; FABRICATIONS'!I11+'MVMTS SORTIES &amp; FABRICATIONS'!J11+'VENTES FRANCE'!D11+'VENTES FRANCE'!E11+'VENTES FRANCE'!F11+'VENTES FRANCE'!G11+'VENTES FRANCE'!H11+'VENTES EXPORT &amp; VINS VINES'!D10+'VENTES EXPORT &amp; VINS VINES'!E10+'VENTES EXPORT &amp; VINS VINES'!F10+'VENTES EXPORT &amp; VINS VINES'!G10</f>
        <v>0</v>
      </c>
      <c r="I20" s="61">
        <f t="shared" si="0"/>
        <v>0</v>
      </c>
      <c r="J20" s="97">
        <v>0</v>
      </c>
    </row>
    <row r="21" spans="1:10" x14ac:dyDescent="0.2">
      <c r="A21" s="50"/>
      <c r="B21" s="51"/>
      <c r="C21" s="52"/>
      <c r="D21" s="98"/>
      <c r="E21" s="58"/>
      <c r="F21" s="59"/>
      <c r="G21" s="60">
        <f>'MOUVEMENTS ENTREE'!D12+'MOUVEMENTS ENTREE'!E12+'MOUVEMENTS ENTREE'!F12+'MOUVEMENTS ENTREE'!G12+'MOUVEMENTS ENTREE'!H12+'MOUVEMENTS ENTREE'!I12</f>
        <v>0</v>
      </c>
      <c r="H21" s="61">
        <f>'MVMTS SORTIES &amp; FABRICATIONS'!D12+'MVMTS SORTIES &amp; FABRICATIONS'!E12+'MVMTS SORTIES &amp; FABRICATIONS'!F12+'MVMTS SORTIES &amp; FABRICATIONS'!G12+'MVMTS SORTIES &amp; FABRICATIONS'!H12+'MVMTS SORTIES &amp; FABRICATIONS'!I12+'MVMTS SORTIES &amp; FABRICATIONS'!J12+'VENTES FRANCE'!D12+'VENTES FRANCE'!E12+'VENTES FRANCE'!F12+'VENTES FRANCE'!G12+'VENTES FRANCE'!H12+'VENTES EXPORT &amp; VINS VINES'!D11+'VENTES EXPORT &amp; VINS VINES'!E11+'VENTES EXPORT &amp; VINS VINES'!F11+'VENTES EXPORT &amp; VINS VINES'!G11</f>
        <v>0</v>
      </c>
      <c r="I21" s="61">
        <f t="shared" si="0"/>
        <v>0</v>
      </c>
      <c r="J21" s="97">
        <v>0</v>
      </c>
    </row>
    <row r="22" spans="1:10" x14ac:dyDescent="0.2">
      <c r="A22" s="50"/>
      <c r="B22" s="51"/>
      <c r="C22" s="52"/>
      <c r="D22" s="98"/>
      <c r="E22" s="58"/>
      <c r="F22" s="59"/>
      <c r="G22" s="60">
        <f>'MOUVEMENTS ENTREE'!D13+'MOUVEMENTS ENTREE'!E13+'MOUVEMENTS ENTREE'!F13+'MOUVEMENTS ENTREE'!G13+'MOUVEMENTS ENTREE'!H13+'MOUVEMENTS ENTREE'!I13</f>
        <v>0</v>
      </c>
      <c r="H22" s="61">
        <f>'MVMTS SORTIES &amp; FABRICATIONS'!D13+'MVMTS SORTIES &amp; FABRICATIONS'!E13+'MVMTS SORTIES &amp; FABRICATIONS'!F13+'MVMTS SORTIES &amp; FABRICATIONS'!G13+'MVMTS SORTIES &amp; FABRICATIONS'!H13+'MVMTS SORTIES &amp; FABRICATIONS'!I13+'MVMTS SORTIES &amp; FABRICATIONS'!J13+'VENTES FRANCE'!D13+'VENTES FRANCE'!E13+'VENTES FRANCE'!F13+'VENTES FRANCE'!G13+'VENTES FRANCE'!H13+'VENTES EXPORT &amp; VINS VINES'!D12+'VENTES EXPORT &amp; VINS VINES'!E12+'VENTES EXPORT &amp; VINS VINES'!F12+'VENTES EXPORT &amp; VINS VINES'!G12</f>
        <v>0</v>
      </c>
      <c r="I22" s="61">
        <f t="shared" si="0"/>
        <v>0</v>
      </c>
      <c r="J22" s="97">
        <v>0</v>
      </c>
    </row>
    <row r="23" spans="1:10" x14ac:dyDescent="0.2">
      <c r="A23" s="50"/>
      <c r="B23" s="51"/>
      <c r="C23" s="52"/>
      <c r="D23" s="98"/>
      <c r="E23" s="58"/>
      <c r="F23" s="59"/>
      <c r="G23" s="60">
        <f>'MOUVEMENTS ENTREE'!D14+'MOUVEMENTS ENTREE'!E14+'MOUVEMENTS ENTREE'!F14+'MOUVEMENTS ENTREE'!G14+'MOUVEMENTS ENTREE'!H14+'MOUVEMENTS ENTREE'!I14</f>
        <v>0</v>
      </c>
      <c r="H23" s="61">
        <f>'MVMTS SORTIES &amp; FABRICATIONS'!D14+'MVMTS SORTIES &amp; FABRICATIONS'!E14+'MVMTS SORTIES &amp; FABRICATIONS'!F14+'MVMTS SORTIES &amp; FABRICATIONS'!G14+'MVMTS SORTIES &amp; FABRICATIONS'!H14+'MVMTS SORTIES &amp; FABRICATIONS'!I14+'MVMTS SORTIES &amp; FABRICATIONS'!J14+'VENTES FRANCE'!D14+'VENTES FRANCE'!E14+'VENTES FRANCE'!F14+'VENTES FRANCE'!G14+'VENTES FRANCE'!H14+'VENTES EXPORT &amp; VINS VINES'!D13+'VENTES EXPORT &amp; VINS VINES'!E13+'VENTES EXPORT &amp; VINS VINES'!F13+'VENTES EXPORT &amp; VINS VINES'!G13</f>
        <v>0</v>
      </c>
      <c r="I23" s="61">
        <f t="shared" si="0"/>
        <v>0</v>
      </c>
      <c r="J23" s="97">
        <v>0</v>
      </c>
    </row>
    <row r="24" spans="1:10" x14ac:dyDescent="0.2">
      <c r="A24" s="50"/>
      <c r="B24" s="51"/>
      <c r="C24" s="52"/>
      <c r="D24" s="98"/>
      <c r="E24" s="58"/>
      <c r="F24" s="59"/>
      <c r="G24" s="60">
        <f>'MOUVEMENTS ENTREE'!D15+'MOUVEMENTS ENTREE'!E15+'MOUVEMENTS ENTREE'!F15+'MOUVEMENTS ENTREE'!G15+'MOUVEMENTS ENTREE'!H15+'MOUVEMENTS ENTREE'!I15</f>
        <v>0</v>
      </c>
      <c r="H24" s="61">
        <f>'MVMTS SORTIES &amp; FABRICATIONS'!D15+'MVMTS SORTIES &amp; FABRICATIONS'!E15+'MVMTS SORTIES &amp; FABRICATIONS'!F15+'MVMTS SORTIES &amp; FABRICATIONS'!G15+'MVMTS SORTIES &amp; FABRICATIONS'!H15+'MVMTS SORTIES &amp; FABRICATIONS'!I15+'MVMTS SORTIES &amp; FABRICATIONS'!J15+'VENTES FRANCE'!D15+'VENTES FRANCE'!E15+'VENTES FRANCE'!F15+'VENTES FRANCE'!G15+'VENTES FRANCE'!H15+'VENTES EXPORT &amp; VINS VINES'!D14+'VENTES EXPORT &amp; VINS VINES'!E14+'VENTES EXPORT &amp; VINS VINES'!F14+'VENTES EXPORT &amp; VINS VINES'!G14</f>
        <v>0</v>
      </c>
      <c r="I24" s="61">
        <f t="shared" si="0"/>
        <v>0</v>
      </c>
      <c r="J24" s="97">
        <v>0</v>
      </c>
    </row>
    <row r="25" spans="1:10" x14ac:dyDescent="0.2">
      <c r="A25" s="50"/>
      <c r="B25" s="51"/>
      <c r="C25" s="52"/>
      <c r="D25" s="98"/>
      <c r="E25" s="58"/>
      <c r="F25" s="59"/>
      <c r="G25" s="60">
        <f>'MOUVEMENTS ENTREE'!D16+'MOUVEMENTS ENTREE'!E16+'MOUVEMENTS ENTREE'!F16+'MOUVEMENTS ENTREE'!G16+'MOUVEMENTS ENTREE'!H16+'MOUVEMENTS ENTREE'!I16</f>
        <v>0</v>
      </c>
      <c r="H25" s="61">
        <f>'MVMTS SORTIES &amp; FABRICATIONS'!D16+'MVMTS SORTIES &amp; FABRICATIONS'!E16+'MVMTS SORTIES &amp; FABRICATIONS'!F16+'MVMTS SORTIES &amp; FABRICATIONS'!G16+'MVMTS SORTIES &amp; FABRICATIONS'!H16+'MVMTS SORTIES &amp; FABRICATIONS'!I16+'MVMTS SORTIES &amp; FABRICATIONS'!J16+'VENTES FRANCE'!D16+'VENTES FRANCE'!E16+'VENTES FRANCE'!F16+'VENTES FRANCE'!G16+'VENTES FRANCE'!H16+'VENTES EXPORT &amp; VINS VINES'!D15+'VENTES EXPORT &amp; VINS VINES'!E15+'VENTES EXPORT &amp; VINS VINES'!F15+'VENTES EXPORT &amp; VINS VINES'!G15</f>
        <v>0</v>
      </c>
      <c r="I25" s="61">
        <f t="shared" si="0"/>
        <v>0</v>
      </c>
      <c r="J25" s="97">
        <v>0</v>
      </c>
    </row>
    <row r="26" spans="1:10" x14ac:dyDescent="0.2">
      <c r="A26" s="50"/>
      <c r="B26" s="51"/>
      <c r="C26" s="52"/>
      <c r="D26" s="98"/>
      <c r="E26" s="58"/>
      <c r="F26" s="59"/>
      <c r="G26" s="60">
        <f>'MOUVEMENTS ENTREE'!D17+'MOUVEMENTS ENTREE'!E17+'MOUVEMENTS ENTREE'!F17+'MOUVEMENTS ENTREE'!G17+'MOUVEMENTS ENTREE'!H17+'MOUVEMENTS ENTREE'!I17</f>
        <v>0</v>
      </c>
      <c r="H26" s="61">
        <f>'MVMTS SORTIES &amp; FABRICATIONS'!D17+'MVMTS SORTIES &amp; FABRICATIONS'!E17+'MVMTS SORTIES &amp; FABRICATIONS'!F17+'MVMTS SORTIES &amp; FABRICATIONS'!G17+'MVMTS SORTIES &amp; FABRICATIONS'!H17+'MVMTS SORTIES &amp; FABRICATIONS'!I17+'MVMTS SORTIES &amp; FABRICATIONS'!J17+'VENTES FRANCE'!D17+'VENTES FRANCE'!E17+'VENTES FRANCE'!F17+'VENTES FRANCE'!G17+'VENTES FRANCE'!H17+'VENTES EXPORT &amp; VINS VINES'!D16+'VENTES EXPORT &amp; VINS VINES'!E16+'VENTES EXPORT &amp; VINS VINES'!F16+'VENTES EXPORT &amp; VINS VINES'!G16</f>
        <v>0</v>
      </c>
      <c r="I26" s="61">
        <f t="shared" si="0"/>
        <v>0</v>
      </c>
      <c r="J26" s="97">
        <v>0</v>
      </c>
    </row>
    <row r="27" spans="1:10" x14ac:dyDescent="0.2">
      <c r="A27" s="50"/>
      <c r="B27" s="51"/>
      <c r="C27" s="52"/>
      <c r="D27" s="98"/>
      <c r="E27" s="58"/>
      <c r="F27" s="59"/>
      <c r="G27" s="60">
        <f>'MOUVEMENTS ENTREE'!D18+'MOUVEMENTS ENTREE'!E18+'MOUVEMENTS ENTREE'!F18+'MOUVEMENTS ENTREE'!G18+'MOUVEMENTS ENTREE'!H18+'MOUVEMENTS ENTREE'!I18</f>
        <v>0</v>
      </c>
      <c r="H27" s="61">
        <f>'MVMTS SORTIES &amp; FABRICATIONS'!D18+'MVMTS SORTIES &amp; FABRICATIONS'!E18+'MVMTS SORTIES &amp; FABRICATIONS'!F18+'MVMTS SORTIES &amp; FABRICATIONS'!G18+'MVMTS SORTIES &amp; FABRICATIONS'!H18+'MVMTS SORTIES &amp; FABRICATIONS'!I18+'MVMTS SORTIES &amp; FABRICATIONS'!J18+'VENTES FRANCE'!D18+'VENTES FRANCE'!E18+'VENTES FRANCE'!F18+'VENTES FRANCE'!G18+'VENTES FRANCE'!H18+'VENTES EXPORT &amp; VINS VINES'!D17+'VENTES EXPORT &amp; VINS VINES'!E17+'VENTES EXPORT &amp; VINS VINES'!F17+'VENTES EXPORT &amp; VINS VINES'!G17</f>
        <v>0</v>
      </c>
      <c r="I27" s="61">
        <f t="shared" si="0"/>
        <v>0</v>
      </c>
      <c r="J27" s="97">
        <v>0</v>
      </c>
    </row>
    <row r="28" spans="1:10" x14ac:dyDescent="0.2">
      <c r="A28" s="50"/>
      <c r="B28" s="51"/>
      <c r="C28" s="52"/>
      <c r="D28" s="98"/>
      <c r="E28" s="58"/>
      <c r="F28" s="59"/>
      <c r="G28" s="60">
        <f>'MOUVEMENTS ENTREE'!D19+'MOUVEMENTS ENTREE'!E19+'MOUVEMENTS ENTREE'!F19+'MOUVEMENTS ENTREE'!G19+'MOUVEMENTS ENTREE'!H19+'MOUVEMENTS ENTREE'!I19</f>
        <v>0</v>
      </c>
      <c r="H28" s="61">
        <f>'MVMTS SORTIES &amp; FABRICATIONS'!D19+'MVMTS SORTIES &amp; FABRICATIONS'!E19+'MVMTS SORTIES &amp; FABRICATIONS'!F19+'MVMTS SORTIES &amp; FABRICATIONS'!G19+'MVMTS SORTIES &amp; FABRICATIONS'!H19+'MVMTS SORTIES &amp; FABRICATIONS'!I19+'MVMTS SORTIES &amp; FABRICATIONS'!J19+'VENTES FRANCE'!D19+'VENTES FRANCE'!E19+'VENTES FRANCE'!F19+'VENTES FRANCE'!G19+'VENTES FRANCE'!H19+'VENTES EXPORT &amp; VINS VINES'!D18+'VENTES EXPORT &amp; VINS VINES'!E18+'VENTES EXPORT &amp; VINS VINES'!F18+'VENTES EXPORT &amp; VINS VINES'!G18</f>
        <v>0</v>
      </c>
      <c r="I28" s="61">
        <f t="shared" si="0"/>
        <v>0</v>
      </c>
      <c r="J28" s="97">
        <v>0</v>
      </c>
    </row>
    <row r="29" spans="1:10" x14ac:dyDescent="0.2">
      <c r="A29" s="50"/>
      <c r="B29" s="51"/>
      <c r="C29" s="52"/>
      <c r="D29" s="98"/>
      <c r="E29" s="58"/>
      <c r="F29" s="59"/>
      <c r="G29" s="60">
        <f>'MOUVEMENTS ENTREE'!D20+'MOUVEMENTS ENTREE'!E20+'MOUVEMENTS ENTREE'!F20+'MOUVEMENTS ENTREE'!G20+'MOUVEMENTS ENTREE'!H20+'MOUVEMENTS ENTREE'!I20</f>
        <v>0</v>
      </c>
      <c r="H29" s="61">
        <f>'MVMTS SORTIES &amp; FABRICATIONS'!D20+'MVMTS SORTIES &amp; FABRICATIONS'!E20+'MVMTS SORTIES &amp; FABRICATIONS'!F20+'MVMTS SORTIES &amp; FABRICATIONS'!G20+'MVMTS SORTIES &amp; FABRICATIONS'!H20+'MVMTS SORTIES &amp; FABRICATIONS'!I20+'MVMTS SORTIES &amp; FABRICATIONS'!J20+'VENTES FRANCE'!D20+'VENTES FRANCE'!E20+'VENTES FRANCE'!F20+'VENTES FRANCE'!G20+'VENTES FRANCE'!H20+'VENTES EXPORT &amp; VINS VINES'!D19+'VENTES EXPORT &amp; VINS VINES'!E19+'VENTES EXPORT &amp; VINS VINES'!F19+'VENTES EXPORT &amp; VINS VINES'!G19</f>
        <v>0</v>
      </c>
      <c r="I29" s="61">
        <f t="shared" si="0"/>
        <v>0</v>
      </c>
      <c r="J29" s="97">
        <v>0</v>
      </c>
    </row>
    <row r="30" spans="1:10" x14ac:dyDescent="0.2">
      <c r="A30" s="50"/>
      <c r="B30" s="51"/>
      <c r="C30" s="52"/>
      <c r="D30" s="98"/>
      <c r="E30" s="58"/>
      <c r="F30" s="59"/>
      <c r="G30" s="60">
        <f>'MOUVEMENTS ENTREE'!D21+'MOUVEMENTS ENTREE'!E21+'MOUVEMENTS ENTREE'!F21+'MOUVEMENTS ENTREE'!G21+'MOUVEMENTS ENTREE'!H21+'MOUVEMENTS ENTREE'!I21</f>
        <v>0</v>
      </c>
      <c r="H30" s="61">
        <f>'MVMTS SORTIES &amp; FABRICATIONS'!D21+'MVMTS SORTIES &amp; FABRICATIONS'!E21+'MVMTS SORTIES &amp; FABRICATIONS'!F21+'MVMTS SORTIES &amp; FABRICATIONS'!G21+'MVMTS SORTIES &amp; FABRICATIONS'!H21+'MVMTS SORTIES &amp; FABRICATIONS'!I21+'MVMTS SORTIES &amp; FABRICATIONS'!J21+'VENTES FRANCE'!D21+'VENTES FRANCE'!E21+'VENTES FRANCE'!F21+'VENTES FRANCE'!G21+'VENTES FRANCE'!H21+'VENTES EXPORT &amp; VINS VINES'!D20+'VENTES EXPORT &amp; VINS VINES'!E20+'VENTES EXPORT &amp; VINS VINES'!F20+'VENTES EXPORT &amp; VINS VINES'!G20</f>
        <v>0</v>
      </c>
      <c r="I30" s="61">
        <f t="shared" si="0"/>
        <v>0</v>
      </c>
      <c r="J30" s="97">
        <v>0</v>
      </c>
    </row>
    <row r="31" spans="1:10" x14ac:dyDescent="0.2">
      <c r="A31" s="50"/>
      <c r="B31" s="51"/>
      <c r="C31" s="52"/>
      <c r="D31" s="98"/>
      <c r="E31" s="58"/>
      <c r="F31" s="59"/>
      <c r="G31" s="60">
        <f>'MOUVEMENTS ENTREE'!D22+'MOUVEMENTS ENTREE'!E22+'MOUVEMENTS ENTREE'!F22+'MOUVEMENTS ENTREE'!G22+'MOUVEMENTS ENTREE'!H22+'MOUVEMENTS ENTREE'!I22</f>
        <v>0</v>
      </c>
      <c r="H31" s="61">
        <f>'MVMTS SORTIES &amp; FABRICATIONS'!D22+'MVMTS SORTIES &amp; FABRICATIONS'!E22+'MVMTS SORTIES &amp; FABRICATIONS'!F22+'MVMTS SORTIES &amp; FABRICATIONS'!G22+'MVMTS SORTIES &amp; FABRICATIONS'!H22+'MVMTS SORTIES &amp; FABRICATIONS'!I22+'MVMTS SORTIES &amp; FABRICATIONS'!J22+'VENTES FRANCE'!D22+'VENTES FRANCE'!E22+'VENTES FRANCE'!F22+'VENTES FRANCE'!G22+'VENTES FRANCE'!H22+'VENTES EXPORT &amp; VINS VINES'!D21+'VENTES EXPORT &amp; VINS VINES'!E21+'VENTES EXPORT &amp; VINS VINES'!F21+'VENTES EXPORT &amp; VINS VINES'!G21</f>
        <v>0</v>
      </c>
      <c r="I31" s="61">
        <f t="shared" si="0"/>
        <v>0</v>
      </c>
      <c r="J31" s="97">
        <v>0</v>
      </c>
    </row>
    <row r="32" spans="1:10" x14ac:dyDescent="0.2">
      <c r="A32" s="50"/>
      <c r="B32" s="51"/>
      <c r="C32" s="52"/>
      <c r="D32" s="98"/>
      <c r="E32" s="58"/>
      <c r="F32" s="59"/>
      <c r="G32" s="60">
        <f>'MOUVEMENTS ENTREE'!D23+'MOUVEMENTS ENTREE'!E23+'MOUVEMENTS ENTREE'!F23+'MOUVEMENTS ENTREE'!G23+'MOUVEMENTS ENTREE'!H23+'MOUVEMENTS ENTREE'!I23</f>
        <v>0</v>
      </c>
      <c r="H32" s="61">
        <f>'MVMTS SORTIES &amp; FABRICATIONS'!D23+'MVMTS SORTIES &amp; FABRICATIONS'!E23+'MVMTS SORTIES &amp; FABRICATIONS'!F23+'MVMTS SORTIES &amp; FABRICATIONS'!G23+'MVMTS SORTIES &amp; FABRICATIONS'!H23+'MVMTS SORTIES &amp; FABRICATIONS'!I23+'MVMTS SORTIES &amp; FABRICATIONS'!J23+'VENTES FRANCE'!D23+'VENTES FRANCE'!E23+'VENTES FRANCE'!F23+'VENTES FRANCE'!G23+'VENTES FRANCE'!H23+'VENTES EXPORT &amp; VINS VINES'!D22+'VENTES EXPORT &amp; VINS VINES'!E22+'VENTES EXPORT &amp; VINS VINES'!F22+'VENTES EXPORT &amp; VINS VINES'!G22</f>
        <v>0</v>
      </c>
      <c r="I32" s="61">
        <f t="shared" si="0"/>
        <v>0</v>
      </c>
      <c r="J32" s="97">
        <v>0</v>
      </c>
    </row>
    <row r="33" spans="1:10" x14ac:dyDescent="0.2">
      <c r="A33" s="50"/>
      <c r="B33" s="51"/>
      <c r="C33" s="52"/>
      <c r="D33" s="98"/>
      <c r="E33" s="58"/>
      <c r="F33" s="59"/>
      <c r="G33" s="60">
        <f>'MOUVEMENTS ENTREE'!D24+'MOUVEMENTS ENTREE'!E24+'MOUVEMENTS ENTREE'!F24+'MOUVEMENTS ENTREE'!G24+'MOUVEMENTS ENTREE'!H24+'MOUVEMENTS ENTREE'!I24</f>
        <v>0</v>
      </c>
      <c r="H33" s="61">
        <f>'MVMTS SORTIES &amp; FABRICATIONS'!D24+'MVMTS SORTIES &amp; FABRICATIONS'!E24+'MVMTS SORTIES &amp; FABRICATIONS'!F24+'MVMTS SORTIES &amp; FABRICATIONS'!G24+'MVMTS SORTIES &amp; FABRICATIONS'!H24+'MVMTS SORTIES &amp; FABRICATIONS'!I24+'MVMTS SORTIES &amp; FABRICATIONS'!J24+'VENTES FRANCE'!D24+'VENTES FRANCE'!E24+'VENTES FRANCE'!F24+'VENTES FRANCE'!G24+'VENTES FRANCE'!H24+'VENTES EXPORT &amp; VINS VINES'!D23+'VENTES EXPORT &amp; VINS VINES'!E23+'VENTES EXPORT &amp; VINS VINES'!F23+'VENTES EXPORT &amp; VINS VINES'!G23</f>
        <v>0</v>
      </c>
      <c r="I33" s="61">
        <f t="shared" si="0"/>
        <v>0</v>
      </c>
      <c r="J33" s="97">
        <v>0</v>
      </c>
    </row>
    <row r="34" spans="1:10" x14ac:dyDescent="0.2">
      <c r="A34" s="50"/>
      <c r="B34" s="51"/>
      <c r="C34" s="52"/>
      <c r="D34" s="98"/>
      <c r="E34" s="58"/>
      <c r="F34" s="59"/>
      <c r="G34" s="60">
        <f>'MOUVEMENTS ENTREE'!D25+'MOUVEMENTS ENTREE'!E25+'MOUVEMENTS ENTREE'!F25+'MOUVEMENTS ENTREE'!G25+'MOUVEMENTS ENTREE'!H25+'MOUVEMENTS ENTREE'!I25</f>
        <v>0</v>
      </c>
      <c r="H34" s="61">
        <f>'MVMTS SORTIES &amp; FABRICATIONS'!D25+'MVMTS SORTIES &amp; FABRICATIONS'!E25+'MVMTS SORTIES &amp; FABRICATIONS'!F25+'MVMTS SORTIES &amp; FABRICATIONS'!G25+'MVMTS SORTIES &amp; FABRICATIONS'!H25+'MVMTS SORTIES &amp; FABRICATIONS'!I25+'MVMTS SORTIES &amp; FABRICATIONS'!J25+'VENTES FRANCE'!D25+'VENTES FRANCE'!E25+'VENTES FRANCE'!F25+'VENTES FRANCE'!G25+'VENTES FRANCE'!H25+'VENTES EXPORT &amp; VINS VINES'!D24+'VENTES EXPORT &amp; VINS VINES'!E24+'VENTES EXPORT &amp; VINS VINES'!F24+'VENTES EXPORT &amp; VINS VINES'!G24</f>
        <v>0</v>
      </c>
      <c r="I34" s="61">
        <f t="shared" si="0"/>
        <v>0</v>
      </c>
      <c r="J34" s="97">
        <v>0</v>
      </c>
    </row>
    <row r="35" spans="1:10" x14ac:dyDescent="0.2">
      <c r="A35" s="50"/>
      <c r="B35" s="51"/>
      <c r="C35" s="52"/>
      <c r="D35" s="98"/>
      <c r="E35" s="58"/>
      <c r="F35" s="59"/>
      <c r="G35" s="60">
        <f>'MOUVEMENTS ENTREE'!D26+'MOUVEMENTS ENTREE'!E26+'MOUVEMENTS ENTREE'!F26+'MOUVEMENTS ENTREE'!G26+'MOUVEMENTS ENTREE'!H26+'MOUVEMENTS ENTREE'!I26</f>
        <v>0</v>
      </c>
      <c r="H35" s="61">
        <f>'MVMTS SORTIES &amp; FABRICATIONS'!D26+'MVMTS SORTIES &amp; FABRICATIONS'!E26+'MVMTS SORTIES &amp; FABRICATIONS'!F26+'MVMTS SORTIES &amp; FABRICATIONS'!G26+'MVMTS SORTIES &amp; FABRICATIONS'!H26+'MVMTS SORTIES &amp; FABRICATIONS'!I26+'MVMTS SORTIES &amp; FABRICATIONS'!J26+'VENTES FRANCE'!D26+'VENTES FRANCE'!E26+'VENTES FRANCE'!F26+'VENTES FRANCE'!G26+'VENTES FRANCE'!H26+'VENTES EXPORT &amp; VINS VINES'!D25+'VENTES EXPORT &amp; VINS VINES'!E25+'VENTES EXPORT &amp; VINS VINES'!F25+'VENTES EXPORT &amp; VINS VINES'!G25</f>
        <v>0</v>
      </c>
      <c r="I35" s="61">
        <f t="shared" si="0"/>
        <v>0</v>
      </c>
      <c r="J35" s="97">
        <v>0</v>
      </c>
    </row>
    <row r="36" spans="1:10" x14ac:dyDescent="0.2">
      <c r="A36" s="50"/>
      <c r="B36" s="51"/>
      <c r="C36" s="52"/>
      <c r="D36" s="98"/>
      <c r="E36" s="58"/>
      <c r="F36" s="59"/>
      <c r="G36" s="60">
        <f>'MOUVEMENTS ENTREE'!D27+'MOUVEMENTS ENTREE'!E27+'MOUVEMENTS ENTREE'!F27+'MOUVEMENTS ENTREE'!G27+'MOUVEMENTS ENTREE'!H27+'MOUVEMENTS ENTREE'!I27</f>
        <v>0</v>
      </c>
      <c r="H36" s="61">
        <f>'MVMTS SORTIES &amp; FABRICATIONS'!D27+'MVMTS SORTIES &amp; FABRICATIONS'!E27+'MVMTS SORTIES &amp; FABRICATIONS'!F27+'MVMTS SORTIES &amp; FABRICATIONS'!G27+'MVMTS SORTIES &amp; FABRICATIONS'!H27+'MVMTS SORTIES &amp; FABRICATIONS'!I27+'MVMTS SORTIES &amp; FABRICATIONS'!J27+'VENTES FRANCE'!D27+'VENTES FRANCE'!E27+'VENTES FRANCE'!F27+'VENTES FRANCE'!G27+'VENTES FRANCE'!H27+'VENTES EXPORT &amp; VINS VINES'!D26+'VENTES EXPORT &amp; VINS VINES'!E26+'VENTES EXPORT &amp; VINS VINES'!F26+'VENTES EXPORT &amp; VINS VINES'!G26</f>
        <v>0</v>
      </c>
      <c r="I36" s="61">
        <f t="shared" si="0"/>
        <v>0</v>
      </c>
      <c r="J36" s="97">
        <v>0</v>
      </c>
    </row>
    <row r="37" spans="1:10" x14ac:dyDescent="0.2">
      <c r="A37" s="50"/>
      <c r="B37" s="51"/>
      <c r="C37" s="52"/>
      <c r="D37" s="98"/>
      <c r="E37" s="58"/>
      <c r="F37" s="59"/>
      <c r="G37" s="60">
        <f>'MOUVEMENTS ENTREE'!D28+'MOUVEMENTS ENTREE'!E28+'MOUVEMENTS ENTREE'!F28+'MOUVEMENTS ENTREE'!G28+'MOUVEMENTS ENTREE'!H28+'MOUVEMENTS ENTREE'!I28</f>
        <v>0</v>
      </c>
      <c r="H37" s="61">
        <f>'MVMTS SORTIES &amp; FABRICATIONS'!D28+'MVMTS SORTIES &amp; FABRICATIONS'!E28+'MVMTS SORTIES &amp; FABRICATIONS'!F28+'MVMTS SORTIES &amp; FABRICATIONS'!G28+'MVMTS SORTIES &amp; FABRICATIONS'!H28+'MVMTS SORTIES &amp; FABRICATIONS'!I28+'MVMTS SORTIES &amp; FABRICATIONS'!J28+'VENTES FRANCE'!D28+'VENTES FRANCE'!E28+'VENTES FRANCE'!F28+'VENTES FRANCE'!G28+'VENTES FRANCE'!H28+'VENTES EXPORT &amp; VINS VINES'!D27+'VENTES EXPORT &amp; VINS VINES'!E27+'VENTES EXPORT &amp; VINS VINES'!F27+'VENTES EXPORT &amp; VINS VINES'!G27</f>
        <v>0</v>
      </c>
      <c r="I37" s="61">
        <f t="shared" si="0"/>
        <v>0</v>
      </c>
      <c r="J37" s="97">
        <v>0</v>
      </c>
    </row>
    <row r="38" spans="1:10" x14ac:dyDescent="0.2">
      <c r="A38" s="50"/>
      <c r="B38" s="51"/>
      <c r="C38" s="52"/>
      <c r="D38" s="98"/>
      <c r="E38" s="58"/>
      <c r="F38" s="59"/>
      <c r="G38" s="60">
        <f>'MOUVEMENTS ENTREE'!D29+'MOUVEMENTS ENTREE'!E29+'MOUVEMENTS ENTREE'!F29+'MOUVEMENTS ENTREE'!G29+'MOUVEMENTS ENTREE'!H29+'MOUVEMENTS ENTREE'!I29</f>
        <v>0</v>
      </c>
      <c r="H38" s="61">
        <f>'MVMTS SORTIES &amp; FABRICATIONS'!D29+'MVMTS SORTIES &amp; FABRICATIONS'!E29+'MVMTS SORTIES &amp; FABRICATIONS'!F29+'MVMTS SORTIES &amp; FABRICATIONS'!G29+'MVMTS SORTIES &amp; FABRICATIONS'!H29+'MVMTS SORTIES &amp; FABRICATIONS'!I29+'MVMTS SORTIES &amp; FABRICATIONS'!J29+'VENTES FRANCE'!D29+'VENTES FRANCE'!E29+'VENTES FRANCE'!F29+'VENTES FRANCE'!G29+'VENTES FRANCE'!H29+'VENTES EXPORT &amp; VINS VINES'!D28+'VENTES EXPORT &amp; VINS VINES'!E28+'VENTES EXPORT &amp; VINS VINES'!F28+'VENTES EXPORT &amp; VINS VINES'!G28</f>
        <v>0</v>
      </c>
      <c r="I38" s="61">
        <f t="shared" si="0"/>
        <v>0</v>
      </c>
      <c r="J38" s="97">
        <v>0</v>
      </c>
    </row>
    <row r="39" spans="1:10" x14ac:dyDescent="0.2">
      <c r="A39" s="50"/>
      <c r="B39" s="51"/>
      <c r="C39" s="52"/>
      <c r="D39" s="98"/>
      <c r="E39" s="58"/>
      <c r="F39" s="59"/>
      <c r="G39" s="60">
        <f>'MOUVEMENTS ENTREE'!D30+'MOUVEMENTS ENTREE'!E30+'MOUVEMENTS ENTREE'!F30+'MOUVEMENTS ENTREE'!G30+'MOUVEMENTS ENTREE'!H30+'MOUVEMENTS ENTREE'!I30</f>
        <v>0</v>
      </c>
      <c r="H39" s="61">
        <f>'MVMTS SORTIES &amp; FABRICATIONS'!D30+'MVMTS SORTIES &amp; FABRICATIONS'!E30+'MVMTS SORTIES &amp; FABRICATIONS'!F30+'MVMTS SORTIES &amp; FABRICATIONS'!G30+'MVMTS SORTIES &amp; FABRICATIONS'!H30+'MVMTS SORTIES &amp; FABRICATIONS'!I30+'MVMTS SORTIES &amp; FABRICATIONS'!J30+'VENTES FRANCE'!D30+'VENTES FRANCE'!E30+'VENTES FRANCE'!F30+'VENTES FRANCE'!G30+'VENTES FRANCE'!H30+'VENTES EXPORT &amp; VINS VINES'!D29+'VENTES EXPORT &amp; VINS VINES'!E29+'VENTES EXPORT &amp; VINS VINES'!F29+'VENTES EXPORT &amp; VINS VINES'!G29</f>
        <v>0</v>
      </c>
      <c r="I39" s="61">
        <f t="shared" si="0"/>
        <v>0</v>
      </c>
      <c r="J39" s="97">
        <v>0</v>
      </c>
    </row>
    <row r="40" spans="1:10" x14ac:dyDescent="0.2">
      <c r="A40" s="50"/>
      <c r="B40" s="51"/>
      <c r="C40" s="52"/>
      <c r="D40" s="98"/>
      <c r="E40" s="58"/>
      <c r="F40" s="59"/>
      <c r="G40" s="60">
        <f>'MOUVEMENTS ENTREE'!D31+'MOUVEMENTS ENTREE'!E31+'MOUVEMENTS ENTREE'!F31+'MOUVEMENTS ENTREE'!G31+'MOUVEMENTS ENTREE'!H31+'MOUVEMENTS ENTREE'!I31</f>
        <v>0</v>
      </c>
      <c r="H40" s="61">
        <f>'MVMTS SORTIES &amp; FABRICATIONS'!D31+'MVMTS SORTIES &amp; FABRICATIONS'!E31+'MVMTS SORTIES &amp; FABRICATIONS'!F31+'MVMTS SORTIES &amp; FABRICATIONS'!G31+'MVMTS SORTIES &amp; FABRICATIONS'!H31+'MVMTS SORTIES &amp; FABRICATIONS'!I31+'MVMTS SORTIES &amp; FABRICATIONS'!J31+'VENTES FRANCE'!D31+'VENTES FRANCE'!E31+'VENTES FRANCE'!F31+'VENTES FRANCE'!G31+'VENTES FRANCE'!H31+'VENTES EXPORT &amp; VINS VINES'!D30+'VENTES EXPORT &amp; VINS VINES'!E30+'VENTES EXPORT &amp; VINS VINES'!F30+'VENTES EXPORT &amp; VINS VINES'!G30</f>
        <v>0</v>
      </c>
      <c r="I40" s="61">
        <f t="shared" si="0"/>
        <v>0</v>
      </c>
      <c r="J40" s="97">
        <v>0</v>
      </c>
    </row>
    <row r="41" spans="1:10" x14ac:dyDescent="0.2">
      <c r="A41" s="53"/>
      <c r="B41" s="54"/>
      <c r="C41" s="55"/>
      <c r="D41" s="99"/>
      <c r="E41" s="62"/>
      <c r="F41" s="63"/>
      <c r="G41" s="60">
        <f>'MOUVEMENTS ENTREE'!D32+'MOUVEMENTS ENTREE'!E32+'MOUVEMENTS ENTREE'!F32+'MOUVEMENTS ENTREE'!G32+'MOUVEMENTS ENTREE'!H32+'MOUVEMENTS ENTREE'!I32</f>
        <v>0</v>
      </c>
      <c r="H41" s="61">
        <f>'MVMTS SORTIES &amp; FABRICATIONS'!D32+'MVMTS SORTIES &amp; FABRICATIONS'!E32+'MVMTS SORTIES &amp; FABRICATIONS'!F32+'MVMTS SORTIES &amp; FABRICATIONS'!G32+'MVMTS SORTIES &amp; FABRICATIONS'!H32+'MVMTS SORTIES &amp; FABRICATIONS'!I32+'MVMTS SORTIES &amp; FABRICATIONS'!J32+'VENTES FRANCE'!D32+'VENTES FRANCE'!E32+'VENTES FRANCE'!F32+'VENTES FRANCE'!G32+'VENTES FRANCE'!H32+'VENTES EXPORT &amp; VINS VINES'!D31+'VENTES EXPORT &amp; VINS VINES'!E31+'VENTES EXPORT &amp; VINS VINES'!F31+'VENTES EXPORT &amp; VINS VINES'!G31</f>
        <v>0</v>
      </c>
      <c r="I41" s="61">
        <f t="shared" si="0"/>
        <v>0</v>
      </c>
      <c r="J41" s="97">
        <v>0</v>
      </c>
    </row>
    <row r="42" spans="1:10" x14ac:dyDescent="0.2">
      <c r="A42" s="53"/>
      <c r="B42" s="54"/>
      <c r="C42" s="55"/>
      <c r="D42" s="99"/>
      <c r="E42" s="62"/>
      <c r="F42" s="63"/>
      <c r="G42" s="60">
        <f>'MOUVEMENTS ENTREE'!D33+'MOUVEMENTS ENTREE'!E33+'MOUVEMENTS ENTREE'!F33+'MOUVEMENTS ENTREE'!G33+'MOUVEMENTS ENTREE'!H33+'MOUVEMENTS ENTREE'!I33</f>
        <v>0</v>
      </c>
      <c r="H42" s="61">
        <f>'MVMTS SORTIES &amp; FABRICATIONS'!D33+'MVMTS SORTIES &amp; FABRICATIONS'!E33+'MVMTS SORTIES &amp; FABRICATIONS'!F33+'MVMTS SORTIES &amp; FABRICATIONS'!G33+'MVMTS SORTIES &amp; FABRICATIONS'!H33+'MVMTS SORTIES &amp; FABRICATIONS'!I33+'MVMTS SORTIES &amp; FABRICATIONS'!J33+'VENTES FRANCE'!D33+'VENTES FRANCE'!E33+'VENTES FRANCE'!F33+'VENTES FRANCE'!G33+'VENTES FRANCE'!H33+'VENTES EXPORT &amp; VINS VINES'!D32+'VENTES EXPORT &amp; VINS VINES'!E32+'VENTES EXPORT &amp; VINS VINES'!F32+'VENTES EXPORT &amp; VINS VINES'!G32</f>
        <v>0</v>
      </c>
      <c r="I42" s="61">
        <f t="shared" si="0"/>
        <v>0</v>
      </c>
      <c r="J42" s="97">
        <v>0</v>
      </c>
    </row>
    <row r="43" spans="1:10" x14ac:dyDescent="0.2">
      <c r="A43" s="53"/>
      <c r="B43" s="54"/>
      <c r="C43" s="55"/>
      <c r="D43" s="99"/>
      <c r="E43" s="62"/>
      <c r="F43" s="63"/>
      <c r="G43" s="60">
        <f>'MOUVEMENTS ENTREE'!D34+'MOUVEMENTS ENTREE'!E34+'MOUVEMENTS ENTREE'!F34+'MOUVEMENTS ENTREE'!G34+'MOUVEMENTS ENTREE'!H34+'MOUVEMENTS ENTREE'!I34</f>
        <v>0</v>
      </c>
      <c r="H43" s="61">
        <f>'MVMTS SORTIES &amp; FABRICATIONS'!D34+'MVMTS SORTIES &amp; FABRICATIONS'!E34+'MVMTS SORTIES &amp; FABRICATIONS'!F34+'MVMTS SORTIES &amp; FABRICATIONS'!G34+'MVMTS SORTIES &amp; FABRICATIONS'!H34+'MVMTS SORTIES &amp; FABRICATIONS'!I34+'MVMTS SORTIES &amp; FABRICATIONS'!J34+'VENTES FRANCE'!D34+'VENTES FRANCE'!E34+'VENTES FRANCE'!F34+'VENTES FRANCE'!G34+'VENTES FRANCE'!H34+'VENTES EXPORT &amp; VINS VINES'!D33+'VENTES EXPORT &amp; VINS VINES'!E33+'VENTES EXPORT &amp; VINS VINES'!F33+'VENTES EXPORT &amp; VINS VINES'!G33</f>
        <v>0</v>
      </c>
      <c r="I43" s="61">
        <f t="shared" si="0"/>
        <v>0</v>
      </c>
      <c r="J43" s="97">
        <v>0</v>
      </c>
    </row>
    <row r="44" spans="1:10" x14ac:dyDescent="0.2">
      <c r="A44" s="53"/>
      <c r="B44" s="54"/>
      <c r="C44" s="55"/>
      <c r="D44" s="99"/>
      <c r="E44" s="62"/>
      <c r="F44" s="63"/>
      <c r="G44" s="60">
        <f>'MOUVEMENTS ENTREE'!D35+'MOUVEMENTS ENTREE'!E35+'MOUVEMENTS ENTREE'!F35+'MOUVEMENTS ENTREE'!G35+'MOUVEMENTS ENTREE'!H35+'MOUVEMENTS ENTREE'!I35</f>
        <v>0</v>
      </c>
      <c r="H44" s="61">
        <f>'MVMTS SORTIES &amp; FABRICATIONS'!D35+'MVMTS SORTIES &amp; FABRICATIONS'!E35+'MVMTS SORTIES &amp; FABRICATIONS'!F35+'MVMTS SORTIES &amp; FABRICATIONS'!G35+'MVMTS SORTIES &amp; FABRICATIONS'!H35+'MVMTS SORTIES &amp; FABRICATIONS'!I35+'MVMTS SORTIES &amp; FABRICATIONS'!J35+'VENTES FRANCE'!D35+'VENTES FRANCE'!E35+'VENTES FRANCE'!F35+'VENTES FRANCE'!G35+'VENTES FRANCE'!H35+'VENTES EXPORT &amp; VINS VINES'!D34+'VENTES EXPORT &amp; VINS VINES'!E34+'VENTES EXPORT &amp; VINS VINES'!F34+'VENTES EXPORT &amp; VINS VINES'!G34</f>
        <v>0</v>
      </c>
      <c r="I44" s="61">
        <f t="shared" si="0"/>
        <v>0</v>
      </c>
      <c r="J44" s="97">
        <v>0</v>
      </c>
    </row>
    <row r="45" spans="1:10" x14ac:dyDescent="0.2">
      <c r="A45" s="53"/>
      <c r="B45" s="54"/>
      <c r="C45" s="55"/>
      <c r="D45" s="99"/>
      <c r="E45" s="62"/>
      <c r="F45" s="63"/>
      <c r="G45" s="60">
        <f>'MOUVEMENTS ENTREE'!D36+'MOUVEMENTS ENTREE'!E36+'MOUVEMENTS ENTREE'!F36+'MOUVEMENTS ENTREE'!G36+'MOUVEMENTS ENTREE'!H36+'MOUVEMENTS ENTREE'!I36</f>
        <v>0</v>
      </c>
      <c r="H45" s="61">
        <f>'MVMTS SORTIES &amp; FABRICATIONS'!D36+'MVMTS SORTIES &amp; FABRICATIONS'!E36+'MVMTS SORTIES &amp; FABRICATIONS'!F36+'MVMTS SORTIES &amp; FABRICATIONS'!G36+'MVMTS SORTIES &amp; FABRICATIONS'!H36+'MVMTS SORTIES &amp; FABRICATIONS'!I36+'MVMTS SORTIES &amp; FABRICATIONS'!J36+'VENTES FRANCE'!D36+'VENTES FRANCE'!E36+'VENTES FRANCE'!F36+'VENTES FRANCE'!G36+'VENTES FRANCE'!H36+'VENTES EXPORT &amp; VINS VINES'!D35+'VENTES EXPORT &amp; VINS VINES'!E35+'VENTES EXPORT &amp; VINS VINES'!F35+'VENTES EXPORT &amp; VINS VINES'!G35</f>
        <v>0</v>
      </c>
      <c r="I45" s="61">
        <f t="shared" si="0"/>
        <v>0</v>
      </c>
      <c r="J45" s="97">
        <v>0</v>
      </c>
    </row>
    <row r="46" spans="1:10" x14ac:dyDescent="0.2">
      <c r="A46" s="53"/>
      <c r="B46" s="54"/>
      <c r="C46" s="55"/>
      <c r="D46" s="99"/>
      <c r="E46" s="62"/>
      <c r="F46" s="63"/>
      <c r="G46" s="60">
        <f>'MOUVEMENTS ENTREE'!D37+'MOUVEMENTS ENTREE'!E37+'MOUVEMENTS ENTREE'!F37+'MOUVEMENTS ENTREE'!G37+'MOUVEMENTS ENTREE'!H37+'MOUVEMENTS ENTREE'!I37</f>
        <v>0</v>
      </c>
      <c r="H46" s="61">
        <f>'MVMTS SORTIES &amp; FABRICATIONS'!D37+'MVMTS SORTIES &amp; FABRICATIONS'!E37+'MVMTS SORTIES &amp; FABRICATIONS'!F37+'MVMTS SORTIES &amp; FABRICATIONS'!G37+'MVMTS SORTIES &amp; FABRICATIONS'!H37+'MVMTS SORTIES &amp; FABRICATIONS'!I37+'MVMTS SORTIES &amp; FABRICATIONS'!J37+'VENTES FRANCE'!D37+'VENTES FRANCE'!E37+'VENTES FRANCE'!F37+'VENTES FRANCE'!G37+'VENTES FRANCE'!H37+'VENTES EXPORT &amp; VINS VINES'!D36+'VENTES EXPORT &amp; VINS VINES'!E36+'VENTES EXPORT &amp; VINS VINES'!F36+'VENTES EXPORT &amp; VINS VINES'!G36</f>
        <v>0</v>
      </c>
      <c r="I46" s="61">
        <f t="shared" si="0"/>
        <v>0</v>
      </c>
      <c r="J46" s="97">
        <v>0</v>
      </c>
    </row>
    <row r="47" spans="1:10" x14ac:dyDescent="0.2">
      <c r="A47" s="53"/>
      <c r="B47" s="54"/>
      <c r="C47" s="55"/>
      <c r="D47" s="99"/>
      <c r="E47" s="62"/>
      <c r="F47" s="63"/>
      <c r="G47" s="60">
        <f>'MOUVEMENTS ENTREE'!D38+'MOUVEMENTS ENTREE'!E38+'MOUVEMENTS ENTREE'!F38+'MOUVEMENTS ENTREE'!G38+'MOUVEMENTS ENTREE'!H38+'MOUVEMENTS ENTREE'!I38</f>
        <v>0</v>
      </c>
      <c r="H47" s="61">
        <f>'MVMTS SORTIES &amp; FABRICATIONS'!D38+'MVMTS SORTIES &amp; FABRICATIONS'!E38+'MVMTS SORTIES &amp; FABRICATIONS'!F38+'MVMTS SORTIES &amp; FABRICATIONS'!G38+'MVMTS SORTIES &amp; FABRICATIONS'!H38+'MVMTS SORTIES &amp; FABRICATIONS'!I38+'MVMTS SORTIES &amp; FABRICATIONS'!J38+'VENTES FRANCE'!D38+'VENTES FRANCE'!E38+'VENTES FRANCE'!F38+'VENTES FRANCE'!G38+'VENTES FRANCE'!H38+'VENTES EXPORT &amp; VINS VINES'!D37+'VENTES EXPORT &amp; VINS VINES'!E37+'VENTES EXPORT &amp; VINS VINES'!F37+'VENTES EXPORT &amp; VINS VINES'!G37</f>
        <v>0</v>
      </c>
      <c r="I47" s="61">
        <f t="shared" si="0"/>
        <v>0</v>
      </c>
      <c r="J47" s="97">
        <v>0</v>
      </c>
    </row>
    <row r="48" spans="1:10" x14ac:dyDescent="0.2">
      <c r="A48" s="53"/>
      <c r="B48" s="54"/>
      <c r="C48" s="55"/>
      <c r="D48" s="99"/>
      <c r="E48" s="62"/>
      <c r="F48" s="63"/>
      <c r="G48" s="60">
        <f>'MOUVEMENTS ENTREE'!D39+'MOUVEMENTS ENTREE'!E39+'MOUVEMENTS ENTREE'!F39+'MOUVEMENTS ENTREE'!G39+'MOUVEMENTS ENTREE'!H39+'MOUVEMENTS ENTREE'!I39</f>
        <v>0</v>
      </c>
      <c r="H48" s="61">
        <f>'MVMTS SORTIES &amp; FABRICATIONS'!D39+'MVMTS SORTIES &amp; FABRICATIONS'!E39+'MVMTS SORTIES &amp; FABRICATIONS'!F39+'MVMTS SORTIES &amp; FABRICATIONS'!G39+'MVMTS SORTIES &amp; FABRICATIONS'!H39+'MVMTS SORTIES &amp; FABRICATIONS'!I39+'MVMTS SORTIES &amp; FABRICATIONS'!J39+'VENTES FRANCE'!D39+'VENTES FRANCE'!E39+'VENTES FRANCE'!F39+'VENTES FRANCE'!G39+'VENTES FRANCE'!H39+'VENTES EXPORT &amp; VINS VINES'!D38+'VENTES EXPORT &amp; VINS VINES'!E38+'VENTES EXPORT &amp; VINS VINES'!F38+'VENTES EXPORT &amp; VINS VINES'!G38</f>
        <v>0</v>
      </c>
      <c r="I48" s="61">
        <f t="shared" si="0"/>
        <v>0</v>
      </c>
      <c r="J48" s="97">
        <v>0</v>
      </c>
    </row>
    <row r="49" spans="1:10" x14ac:dyDescent="0.2">
      <c r="A49" s="47"/>
      <c r="B49" s="48"/>
      <c r="C49" s="49"/>
      <c r="D49" s="100"/>
      <c r="E49" s="64"/>
      <c r="F49" s="65"/>
      <c r="G49" s="60">
        <f>'MOUVEMENTS ENTREE'!D40+'MOUVEMENTS ENTREE'!E40+'MOUVEMENTS ENTREE'!F40+'MOUVEMENTS ENTREE'!G40+'MOUVEMENTS ENTREE'!H40+'MOUVEMENTS ENTREE'!I40</f>
        <v>0</v>
      </c>
      <c r="H49" s="61">
        <f>'MVMTS SORTIES &amp; FABRICATIONS'!D40+'MVMTS SORTIES &amp; FABRICATIONS'!E40+'MVMTS SORTIES &amp; FABRICATIONS'!F40+'MVMTS SORTIES &amp; FABRICATIONS'!G40+'MVMTS SORTIES &amp; FABRICATIONS'!H40+'MVMTS SORTIES &amp; FABRICATIONS'!I40+'MVMTS SORTIES &amp; FABRICATIONS'!J40+'VENTES FRANCE'!D40+'VENTES FRANCE'!E40+'VENTES FRANCE'!F40+'VENTES FRANCE'!G40+'VENTES FRANCE'!H40+'VENTES EXPORT &amp; VINS VINES'!D39+'VENTES EXPORT &amp; VINS VINES'!E39+'VENTES EXPORT &amp; VINS VINES'!F39+'VENTES EXPORT &amp; VINS VINES'!G39</f>
        <v>0</v>
      </c>
      <c r="I49" s="66">
        <f t="shared" si="0"/>
        <v>0</v>
      </c>
      <c r="J49" s="97">
        <v>0</v>
      </c>
    </row>
    <row r="50" spans="1:10" x14ac:dyDescent="0.2">
      <c r="A50" s="47"/>
      <c r="B50" s="48"/>
      <c r="C50" s="49"/>
      <c r="D50" s="100"/>
      <c r="E50" s="64"/>
      <c r="F50" s="65"/>
      <c r="G50" s="60">
        <f>'MOUVEMENTS ENTREE'!D41+'MOUVEMENTS ENTREE'!E41+'MOUVEMENTS ENTREE'!F41+'MOUVEMENTS ENTREE'!G41+'MOUVEMENTS ENTREE'!H41+'MOUVEMENTS ENTREE'!I41</f>
        <v>0</v>
      </c>
      <c r="H50" s="61">
        <f>'MVMTS SORTIES &amp; FABRICATIONS'!D41+'MVMTS SORTIES &amp; FABRICATIONS'!E41+'MVMTS SORTIES &amp; FABRICATIONS'!F41+'MVMTS SORTIES &amp; FABRICATIONS'!G41+'MVMTS SORTIES &amp; FABRICATIONS'!H41+'MVMTS SORTIES &amp; FABRICATIONS'!I41+'MVMTS SORTIES &amp; FABRICATIONS'!J41+'VENTES FRANCE'!D41+'VENTES FRANCE'!E41+'VENTES FRANCE'!F41+'VENTES FRANCE'!G41+'VENTES FRANCE'!H41+'VENTES EXPORT &amp; VINS VINES'!D40+'VENTES EXPORT &amp; VINS VINES'!E40+'VENTES EXPORT &amp; VINS VINES'!F40+'VENTES EXPORT &amp; VINS VINES'!G40</f>
        <v>0</v>
      </c>
      <c r="I50" s="66">
        <f t="shared" si="0"/>
        <v>0</v>
      </c>
      <c r="J50" s="97">
        <v>0</v>
      </c>
    </row>
    <row r="51" spans="1:10" x14ac:dyDescent="0.2">
      <c r="A51" s="47"/>
      <c r="B51" s="48"/>
      <c r="C51" s="49"/>
      <c r="D51" s="100"/>
      <c r="E51" s="64"/>
      <c r="F51" s="65"/>
      <c r="G51" s="60">
        <f>'MOUVEMENTS ENTREE'!D42+'MOUVEMENTS ENTREE'!E42+'MOUVEMENTS ENTREE'!F42+'MOUVEMENTS ENTREE'!G42+'MOUVEMENTS ENTREE'!H42+'MOUVEMENTS ENTREE'!I42</f>
        <v>0</v>
      </c>
      <c r="H51" s="61">
        <f>'MVMTS SORTIES &amp; FABRICATIONS'!D42+'MVMTS SORTIES &amp; FABRICATIONS'!E42+'MVMTS SORTIES &amp; FABRICATIONS'!F42+'MVMTS SORTIES &amp; FABRICATIONS'!G42+'MVMTS SORTIES &amp; FABRICATIONS'!H42+'MVMTS SORTIES &amp; FABRICATIONS'!I42+'MVMTS SORTIES &amp; FABRICATIONS'!J42+'VENTES FRANCE'!D42+'VENTES FRANCE'!E42+'VENTES FRANCE'!F42+'VENTES FRANCE'!G42+'VENTES FRANCE'!H42+'VENTES EXPORT &amp; VINS VINES'!D41+'VENTES EXPORT &amp; VINS VINES'!E41+'VENTES EXPORT &amp; VINS VINES'!F41+'VENTES EXPORT &amp; VINS VINES'!G41</f>
        <v>0</v>
      </c>
      <c r="I51" s="66">
        <f t="shared" si="0"/>
        <v>0</v>
      </c>
      <c r="J51" s="97">
        <v>0</v>
      </c>
    </row>
    <row r="52" spans="1:10" x14ac:dyDescent="0.2">
      <c r="A52" s="47"/>
      <c r="B52" s="48"/>
      <c r="C52" s="49"/>
      <c r="D52" s="100"/>
      <c r="E52" s="64"/>
      <c r="F52" s="65"/>
      <c r="G52" s="60">
        <f>'MOUVEMENTS ENTREE'!D43+'MOUVEMENTS ENTREE'!E43+'MOUVEMENTS ENTREE'!F43+'MOUVEMENTS ENTREE'!G43+'MOUVEMENTS ENTREE'!H43+'MOUVEMENTS ENTREE'!I43</f>
        <v>0</v>
      </c>
      <c r="H52" s="61">
        <f>'MVMTS SORTIES &amp; FABRICATIONS'!D43+'MVMTS SORTIES &amp; FABRICATIONS'!E43+'MVMTS SORTIES &amp; FABRICATIONS'!F43+'MVMTS SORTIES &amp; FABRICATIONS'!G43+'MVMTS SORTIES &amp; FABRICATIONS'!H43+'MVMTS SORTIES &amp; FABRICATIONS'!I43+'MVMTS SORTIES &amp; FABRICATIONS'!J43+'VENTES FRANCE'!D43+'VENTES FRANCE'!E43+'VENTES FRANCE'!F43+'VENTES FRANCE'!G43+'VENTES FRANCE'!H43+'VENTES EXPORT &amp; VINS VINES'!D42+'VENTES EXPORT &amp; VINS VINES'!E42+'VENTES EXPORT &amp; VINS VINES'!F42+'VENTES EXPORT &amp; VINS VINES'!G42</f>
        <v>0</v>
      </c>
      <c r="I52" s="66">
        <f t="shared" si="0"/>
        <v>0</v>
      </c>
      <c r="J52" s="97">
        <v>0</v>
      </c>
    </row>
    <row r="53" spans="1:10" x14ac:dyDescent="0.2">
      <c r="A53" s="47"/>
      <c r="B53" s="48"/>
      <c r="C53" s="49"/>
      <c r="D53" s="100"/>
      <c r="E53" s="64"/>
      <c r="F53" s="65"/>
      <c r="G53" s="60">
        <f>'MOUVEMENTS ENTREE'!D44+'MOUVEMENTS ENTREE'!E44+'MOUVEMENTS ENTREE'!F44+'MOUVEMENTS ENTREE'!G44+'MOUVEMENTS ENTREE'!H44+'MOUVEMENTS ENTREE'!I44</f>
        <v>0</v>
      </c>
      <c r="H53" s="61">
        <f>'MVMTS SORTIES &amp; FABRICATIONS'!D44+'MVMTS SORTIES &amp; FABRICATIONS'!E44+'MVMTS SORTIES &amp; FABRICATIONS'!F44+'MVMTS SORTIES &amp; FABRICATIONS'!G44+'MVMTS SORTIES &amp; FABRICATIONS'!H44+'MVMTS SORTIES &amp; FABRICATIONS'!I44+'MVMTS SORTIES &amp; FABRICATIONS'!J44+'VENTES FRANCE'!D44+'VENTES FRANCE'!E44+'VENTES FRANCE'!F44+'VENTES FRANCE'!G44+'VENTES FRANCE'!H44+'VENTES EXPORT &amp; VINS VINES'!D43+'VENTES EXPORT &amp; VINS VINES'!E43+'VENTES EXPORT &amp; VINS VINES'!F43+'VENTES EXPORT &amp; VINS VINES'!G43</f>
        <v>0</v>
      </c>
      <c r="I53" s="66">
        <f t="shared" si="0"/>
        <v>0</v>
      </c>
      <c r="J53" s="97">
        <v>0</v>
      </c>
    </row>
    <row r="54" spans="1:10" x14ac:dyDescent="0.2">
      <c r="A54" s="47"/>
      <c r="B54" s="48"/>
      <c r="C54" s="49"/>
      <c r="D54" s="100"/>
      <c r="E54" s="64"/>
      <c r="F54" s="65"/>
      <c r="G54" s="60">
        <f>'MOUVEMENTS ENTREE'!D45+'MOUVEMENTS ENTREE'!E45+'MOUVEMENTS ENTREE'!F45+'MOUVEMENTS ENTREE'!G45+'MOUVEMENTS ENTREE'!H45+'MOUVEMENTS ENTREE'!I45</f>
        <v>0</v>
      </c>
      <c r="H54" s="61">
        <f>'MVMTS SORTIES &amp; FABRICATIONS'!D45+'MVMTS SORTIES &amp; FABRICATIONS'!E45+'MVMTS SORTIES &amp; FABRICATIONS'!F45+'MVMTS SORTIES &amp; FABRICATIONS'!G45+'MVMTS SORTIES &amp; FABRICATIONS'!H45+'MVMTS SORTIES &amp; FABRICATIONS'!I45+'MVMTS SORTIES &amp; FABRICATIONS'!J45+'VENTES FRANCE'!D45+'VENTES FRANCE'!E45+'VENTES FRANCE'!F45+'VENTES FRANCE'!G45+'VENTES FRANCE'!H45+'VENTES EXPORT &amp; VINS VINES'!D44+'VENTES EXPORT &amp; VINS VINES'!E44+'VENTES EXPORT &amp; VINS VINES'!F44+'VENTES EXPORT &amp; VINS VINES'!G44</f>
        <v>0</v>
      </c>
      <c r="I54" s="66">
        <f t="shared" si="0"/>
        <v>0</v>
      </c>
      <c r="J54" s="97">
        <v>0</v>
      </c>
    </row>
    <row r="55" spans="1:10" x14ac:dyDescent="0.2">
      <c r="A55" s="47"/>
      <c r="B55" s="48"/>
      <c r="C55" s="49"/>
      <c r="D55" s="100"/>
      <c r="E55" s="64"/>
      <c r="F55" s="65"/>
      <c r="G55" s="60">
        <f>'MOUVEMENTS ENTREE'!D46+'MOUVEMENTS ENTREE'!E46+'MOUVEMENTS ENTREE'!F46+'MOUVEMENTS ENTREE'!G46+'MOUVEMENTS ENTREE'!H46+'MOUVEMENTS ENTREE'!I46</f>
        <v>0</v>
      </c>
      <c r="H55" s="61">
        <f>'MVMTS SORTIES &amp; FABRICATIONS'!D46+'MVMTS SORTIES &amp; FABRICATIONS'!E46+'MVMTS SORTIES &amp; FABRICATIONS'!F46+'MVMTS SORTIES &amp; FABRICATIONS'!G46+'MVMTS SORTIES &amp; FABRICATIONS'!H46+'MVMTS SORTIES &amp; FABRICATIONS'!I46+'MVMTS SORTIES &amp; FABRICATIONS'!J46+'VENTES FRANCE'!D46+'VENTES FRANCE'!E46+'VENTES FRANCE'!F46+'VENTES FRANCE'!G46+'VENTES FRANCE'!H46+'VENTES EXPORT &amp; VINS VINES'!D45+'VENTES EXPORT &amp; VINS VINES'!E45+'VENTES EXPORT &amp; VINS VINES'!F45+'VENTES EXPORT &amp; VINS VINES'!G45</f>
        <v>0</v>
      </c>
      <c r="I55" s="66">
        <f t="shared" si="0"/>
        <v>0</v>
      </c>
      <c r="J55" s="97">
        <v>0</v>
      </c>
    </row>
    <row r="56" spans="1:10" x14ac:dyDescent="0.2">
      <c r="A56" s="47"/>
      <c r="B56" s="48"/>
      <c r="C56" s="49"/>
      <c r="D56" s="100"/>
      <c r="E56" s="64"/>
      <c r="F56" s="65"/>
      <c r="G56" s="60">
        <f>'MOUVEMENTS ENTREE'!D47+'MOUVEMENTS ENTREE'!E47+'MOUVEMENTS ENTREE'!F47+'MOUVEMENTS ENTREE'!G47+'MOUVEMENTS ENTREE'!H47+'MOUVEMENTS ENTREE'!I47</f>
        <v>0</v>
      </c>
      <c r="H56" s="61">
        <f>'MVMTS SORTIES &amp; FABRICATIONS'!D47+'MVMTS SORTIES &amp; FABRICATIONS'!E47+'MVMTS SORTIES &amp; FABRICATIONS'!F47+'MVMTS SORTIES &amp; FABRICATIONS'!G47+'MVMTS SORTIES &amp; FABRICATIONS'!H47+'MVMTS SORTIES &amp; FABRICATIONS'!I47+'MVMTS SORTIES &amp; FABRICATIONS'!J47+'VENTES FRANCE'!D47+'VENTES FRANCE'!E47+'VENTES FRANCE'!F47+'VENTES FRANCE'!G47+'VENTES FRANCE'!H47+'VENTES EXPORT &amp; VINS VINES'!D46+'VENTES EXPORT &amp; VINS VINES'!E46+'VENTES EXPORT &amp; VINS VINES'!F46+'VENTES EXPORT &amp; VINS VINES'!G46</f>
        <v>0</v>
      </c>
      <c r="I56" s="66">
        <f t="shared" si="0"/>
        <v>0</v>
      </c>
      <c r="J56" s="97">
        <v>0</v>
      </c>
    </row>
    <row r="57" spans="1:10" x14ac:dyDescent="0.2">
      <c r="A57" s="47"/>
      <c r="B57" s="48"/>
      <c r="C57" s="49"/>
      <c r="D57" s="100"/>
      <c r="E57" s="64"/>
      <c r="F57" s="65"/>
      <c r="G57" s="60">
        <f>'MOUVEMENTS ENTREE'!D48+'MOUVEMENTS ENTREE'!E48+'MOUVEMENTS ENTREE'!F48+'MOUVEMENTS ENTREE'!G48+'MOUVEMENTS ENTREE'!H48+'MOUVEMENTS ENTREE'!I48</f>
        <v>0</v>
      </c>
      <c r="H57" s="61">
        <f>'MVMTS SORTIES &amp; FABRICATIONS'!D48+'MVMTS SORTIES &amp; FABRICATIONS'!E48+'MVMTS SORTIES &amp; FABRICATIONS'!F48+'MVMTS SORTIES &amp; FABRICATIONS'!G48+'MVMTS SORTIES &amp; FABRICATIONS'!H48+'MVMTS SORTIES &amp; FABRICATIONS'!I48+'MVMTS SORTIES &amp; FABRICATIONS'!J48+'VENTES FRANCE'!D48+'VENTES FRANCE'!E48+'VENTES FRANCE'!F48+'VENTES FRANCE'!G48+'VENTES FRANCE'!H48+'VENTES EXPORT &amp; VINS VINES'!D47+'VENTES EXPORT &amp; VINS VINES'!E47+'VENTES EXPORT &amp; VINS VINES'!F47+'VENTES EXPORT &amp; VINS VINES'!G47</f>
        <v>0</v>
      </c>
      <c r="I57" s="66">
        <f t="shared" si="0"/>
        <v>0</v>
      </c>
      <c r="J57" s="97">
        <v>0</v>
      </c>
    </row>
    <row r="58" spans="1:10" x14ac:dyDescent="0.2">
      <c r="A58" s="47"/>
      <c r="B58" s="48"/>
      <c r="C58" s="49"/>
      <c r="D58" s="100"/>
      <c r="E58" s="64"/>
      <c r="F58" s="65"/>
      <c r="G58" s="60">
        <f>'MOUVEMENTS ENTREE'!D49+'MOUVEMENTS ENTREE'!E49+'MOUVEMENTS ENTREE'!F49+'MOUVEMENTS ENTREE'!G49+'MOUVEMENTS ENTREE'!H49+'MOUVEMENTS ENTREE'!I49</f>
        <v>0</v>
      </c>
      <c r="H58" s="61">
        <f>'MVMTS SORTIES &amp; FABRICATIONS'!D49+'MVMTS SORTIES &amp; FABRICATIONS'!E49+'MVMTS SORTIES &amp; FABRICATIONS'!F49+'MVMTS SORTIES &amp; FABRICATIONS'!G49+'MVMTS SORTIES &amp; FABRICATIONS'!H49+'MVMTS SORTIES &amp; FABRICATIONS'!I49+'MVMTS SORTIES &amp; FABRICATIONS'!J49+'VENTES FRANCE'!D49+'VENTES FRANCE'!E49+'VENTES FRANCE'!F49+'VENTES FRANCE'!G49+'VENTES FRANCE'!H49+'VENTES EXPORT &amp; VINS VINES'!D48+'VENTES EXPORT &amp; VINS VINES'!E48+'VENTES EXPORT &amp; VINS VINES'!F48+'VENTES EXPORT &amp; VINS VINES'!G48</f>
        <v>0</v>
      </c>
      <c r="I58" s="66">
        <f t="shared" si="0"/>
        <v>0</v>
      </c>
      <c r="J58" s="97">
        <v>0</v>
      </c>
    </row>
    <row r="59" spans="1:10" x14ac:dyDescent="0.2">
      <c r="A59" s="47"/>
      <c r="B59" s="48"/>
      <c r="C59" s="49"/>
      <c r="D59" s="100"/>
      <c r="E59" s="64"/>
      <c r="F59" s="65"/>
      <c r="G59" s="60">
        <f>'MOUVEMENTS ENTREE'!D50+'MOUVEMENTS ENTREE'!E50+'MOUVEMENTS ENTREE'!F50+'MOUVEMENTS ENTREE'!G50+'MOUVEMENTS ENTREE'!H50+'MOUVEMENTS ENTREE'!I50</f>
        <v>0</v>
      </c>
      <c r="H59" s="61">
        <f>'MVMTS SORTIES &amp; FABRICATIONS'!D50+'MVMTS SORTIES &amp; FABRICATIONS'!E50+'MVMTS SORTIES &amp; FABRICATIONS'!F50+'MVMTS SORTIES &amp; FABRICATIONS'!G50+'MVMTS SORTIES &amp; FABRICATIONS'!H50+'MVMTS SORTIES &amp; FABRICATIONS'!I50+'MVMTS SORTIES &amp; FABRICATIONS'!J50+'VENTES FRANCE'!D50+'VENTES FRANCE'!E50+'VENTES FRANCE'!F50+'VENTES FRANCE'!G50+'VENTES FRANCE'!H50+'VENTES EXPORT &amp; VINS VINES'!D49+'VENTES EXPORT &amp; VINS VINES'!E49+'VENTES EXPORT &amp; VINS VINES'!F49+'VENTES EXPORT &amp; VINS VINES'!G49</f>
        <v>0</v>
      </c>
      <c r="I59" s="66">
        <f t="shared" si="0"/>
        <v>0</v>
      </c>
      <c r="J59" s="97">
        <v>0</v>
      </c>
    </row>
    <row r="60" spans="1:10" x14ac:dyDescent="0.2">
      <c r="A60" s="47"/>
      <c r="B60" s="48"/>
      <c r="C60" s="49"/>
      <c r="D60" s="100"/>
      <c r="E60" s="64"/>
      <c r="F60" s="65"/>
      <c r="G60" s="60">
        <f>'MOUVEMENTS ENTREE'!D51+'MOUVEMENTS ENTREE'!E51+'MOUVEMENTS ENTREE'!F51+'MOUVEMENTS ENTREE'!G51+'MOUVEMENTS ENTREE'!H51+'MOUVEMENTS ENTREE'!I51</f>
        <v>0</v>
      </c>
      <c r="H60" s="61">
        <f>'MVMTS SORTIES &amp; FABRICATIONS'!D51+'MVMTS SORTIES &amp; FABRICATIONS'!E51+'MVMTS SORTIES &amp; FABRICATIONS'!F51+'MVMTS SORTIES &amp; FABRICATIONS'!G51+'MVMTS SORTIES &amp; FABRICATIONS'!H51+'MVMTS SORTIES &amp; FABRICATIONS'!I51+'MVMTS SORTIES &amp; FABRICATIONS'!J51+'VENTES FRANCE'!D51+'VENTES FRANCE'!E51+'VENTES FRANCE'!F51+'VENTES FRANCE'!G51+'VENTES FRANCE'!H51+'VENTES EXPORT &amp; VINS VINES'!D50+'VENTES EXPORT &amp; VINS VINES'!E50+'VENTES EXPORT &amp; VINS VINES'!F50+'VENTES EXPORT &amp; VINS VINES'!G50</f>
        <v>0</v>
      </c>
      <c r="I60" s="66">
        <f t="shared" si="0"/>
        <v>0</v>
      </c>
      <c r="J60" s="97">
        <v>0</v>
      </c>
    </row>
    <row r="61" spans="1:10" x14ac:dyDescent="0.2">
      <c r="A61" s="47"/>
      <c r="B61" s="48"/>
      <c r="C61" s="49"/>
      <c r="D61" s="100"/>
      <c r="E61" s="64"/>
      <c r="F61" s="65"/>
      <c r="G61" s="60">
        <f>'MOUVEMENTS ENTREE'!D52+'MOUVEMENTS ENTREE'!E52+'MOUVEMENTS ENTREE'!F52+'MOUVEMENTS ENTREE'!G52+'MOUVEMENTS ENTREE'!H52+'MOUVEMENTS ENTREE'!I52</f>
        <v>0</v>
      </c>
      <c r="H61" s="61">
        <f>'MVMTS SORTIES &amp; FABRICATIONS'!D52+'MVMTS SORTIES &amp; FABRICATIONS'!E52+'MVMTS SORTIES &amp; FABRICATIONS'!F52+'MVMTS SORTIES &amp; FABRICATIONS'!G52+'MVMTS SORTIES &amp; FABRICATIONS'!H52+'MVMTS SORTIES &amp; FABRICATIONS'!I52+'MVMTS SORTIES &amp; FABRICATIONS'!J52+'VENTES FRANCE'!D52+'VENTES FRANCE'!E52+'VENTES FRANCE'!F52+'VENTES FRANCE'!G52+'VENTES FRANCE'!H52+'VENTES EXPORT &amp; VINS VINES'!D51+'VENTES EXPORT &amp; VINS VINES'!E51+'VENTES EXPORT &amp; VINS VINES'!F51+'VENTES EXPORT &amp; VINS VINES'!G51</f>
        <v>0</v>
      </c>
      <c r="I61" s="66">
        <f t="shared" si="0"/>
        <v>0</v>
      </c>
      <c r="J61" s="97">
        <v>0</v>
      </c>
    </row>
    <row r="62" spans="1:10" x14ac:dyDescent="0.2">
      <c r="A62" s="47"/>
      <c r="B62" s="48"/>
      <c r="C62" s="49"/>
      <c r="D62" s="100"/>
      <c r="E62" s="64"/>
      <c r="F62" s="65"/>
      <c r="G62" s="60">
        <f>'MOUVEMENTS ENTREE'!D53+'MOUVEMENTS ENTREE'!E53+'MOUVEMENTS ENTREE'!F53+'MOUVEMENTS ENTREE'!G53+'MOUVEMENTS ENTREE'!H53+'MOUVEMENTS ENTREE'!I53</f>
        <v>0</v>
      </c>
      <c r="H62" s="61">
        <f>'MVMTS SORTIES &amp; FABRICATIONS'!D53+'MVMTS SORTIES &amp; FABRICATIONS'!E53+'MVMTS SORTIES &amp; FABRICATIONS'!F53+'MVMTS SORTIES &amp; FABRICATIONS'!G53+'MVMTS SORTIES &amp; FABRICATIONS'!H53+'MVMTS SORTIES &amp; FABRICATIONS'!I53+'MVMTS SORTIES &amp; FABRICATIONS'!J53+'VENTES FRANCE'!D53+'VENTES FRANCE'!E53+'VENTES FRANCE'!F53+'VENTES FRANCE'!G53+'VENTES FRANCE'!H53+'VENTES EXPORT &amp; VINS VINES'!D52+'VENTES EXPORT &amp; VINS VINES'!E52+'VENTES EXPORT &amp; VINS VINES'!F52+'VENTES EXPORT &amp; VINS VINES'!G52</f>
        <v>0</v>
      </c>
      <c r="I62" s="66">
        <f t="shared" si="0"/>
        <v>0</v>
      </c>
      <c r="J62" s="97">
        <v>0</v>
      </c>
    </row>
    <row r="63" spans="1:10" x14ac:dyDescent="0.2">
      <c r="A63" s="47"/>
      <c r="B63" s="48"/>
      <c r="C63" s="49"/>
      <c r="D63" s="100"/>
      <c r="E63" s="64"/>
      <c r="F63" s="65"/>
      <c r="G63" s="60">
        <f>'MOUVEMENTS ENTREE'!D54+'MOUVEMENTS ENTREE'!E54+'MOUVEMENTS ENTREE'!F54+'MOUVEMENTS ENTREE'!G54+'MOUVEMENTS ENTREE'!H54+'MOUVEMENTS ENTREE'!I54</f>
        <v>0</v>
      </c>
      <c r="H63" s="61">
        <f>'MVMTS SORTIES &amp; FABRICATIONS'!D54+'MVMTS SORTIES &amp; FABRICATIONS'!E54+'MVMTS SORTIES &amp; FABRICATIONS'!F54+'MVMTS SORTIES &amp; FABRICATIONS'!G54+'MVMTS SORTIES &amp; FABRICATIONS'!H54+'MVMTS SORTIES &amp; FABRICATIONS'!I54+'MVMTS SORTIES &amp; FABRICATIONS'!J54+'VENTES FRANCE'!D54+'VENTES FRANCE'!E54+'VENTES FRANCE'!F54+'VENTES FRANCE'!G54+'VENTES FRANCE'!H54+'VENTES EXPORT &amp; VINS VINES'!D53+'VENTES EXPORT &amp; VINS VINES'!E53+'VENTES EXPORT &amp; VINS VINES'!F53+'VENTES EXPORT &amp; VINS VINES'!G53</f>
        <v>0</v>
      </c>
      <c r="I63" s="66">
        <f t="shared" si="0"/>
        <v>0</v>
      </c>
      <c r="J63" s="97">
        <v>0</v>
      </c>
    </row>
    <row r="64" spans="1:10" x14ac:dyDescent="0.2">
      <c r="A64" s="47"/>
      <c r="B64" s="48"/>
      <c r="C64" s="49"/>
      <c r="D64" s="100"/>
      <c r="E64" s="64"/>
      <c r="F64" s="65"/>
      <c r="G64" s="60">
        <f>'MOUVEMENTS ENTREE'!D55+'MOUVEMENTS ENTREE'!E55+'MOUVEMENTS ENTREE'!F55+'MOUVEMENTS ENTREE'!G55+'MOUVEMENTS ENTREE'!H55+'MOUVEMENTS ENTREE'!I55</f>
        <v>0</v>
      </c>
      <c r="H64" s="61">
        <f>'MVMTS SORTIES &amp; FABRICATIONS'!D55+'MVMTS SORTIES &amp; FABRICATIONS'!E55+'MVMTS SORTIES &amp; FABRICATIONS'!F55+'MVMTS SORTIES &amp; FABRICATIONS'!G55+'MVMTS SORTIES &amp; FABRICATIONS'!H55+'MVMTS SORTIES &amp; FABRICATIONS'!I55+'MVMTS SORTIES &amp; FABRICATIONS'!J55+'VENTES FRANCE'!D55+'VENTES FRANCE'!E55+'VENTES FRANCE'!F55+'VENTES FRANCE'!G55+'VENTES FRANCE'!H55+'VENTES EXPORT &amp; VINS VINES'!D54+'VENTES EXPORT &amp; VINS VINES'!E54+'VENTES EXPORT &amp; VINS VINES'!F54+'VENTES EXPORT &amp; VINS VINES'!G54</f>
        <v>0</v>
      </c>
      <c r="I64" s="66">
        <f t="shared" si="0"/>
        <v>0</v>
      </c>
      <c r="J64" s="97">
        <v>0</v>
      </c>
    </row>
    <row r="65" spans="1:10" x14ac:dyDescent="0.2">
      <c r="A65" s="47"/>
      <c r="B65" s="48"/>
      <c r="C65" s="49"/>
      <c r="D65" s="100"/>
      <c r="E65" s="64"/>
      <c r="F65" s="65"/>
      <c r="G65" s="60">
        <f>'MOUVEMENTS ENTREE'!D56+'MOUVEMENTS ENTREE'!E56+'MOUVEMENTS ENTREE'!F56+'MOUVEMENTS ENTREE'!G56+'MOUVEMENTS ENTREE'!H56+'MOUVEMENTS ENTREE'!I56</f>
        <v>0</v>
      </c>
      <c r="H65" s="61">
        <f>'MVMTS SORTIES &amp; FABRICATIONS'!D56+'MVMTS SORTIES &amp; FABRICATIONS'!E56+'MVMTS SORTIES &amp; FABRICATIONS'!F56+'MVMTS SORTIES &amp; FABRICATIONS'!G56+'MVMTS SORTIES &amp; FABRICATIONS'!H56+'MVMTS SORTIES &amp; FABRICATIONS'!I56+'MVMTS SORTIES &amp; FABRICATIONS'!J56+'VENTES FRANCE'!D56+'VENTES FRANCE'!E56+'VENTES FRANCE'!F56+'VENTES FRANCE'!G56+'VENTES FRANCE'!H56+'VENTES EXPORT &amp; VINS VINES'!D55+'VENTES EXPORT &amp; VINS VINES'!E55+'VENTES EXPORT &amp; VINS VINES'!F55+'VENTES EXPORT &amp; VINS VINES'!G55</f>
        <v>0</v>
      </c>
      <c r="I65" s="66">
        <f t="shared" si="0"/>
        <v>0</v>
      </c>
      <c r="J65" s="97">
        <v>0</v>
      </c>
    </row>
    <row r="66" spans="1:10" x14ac:dyDescent="0.2">
      <c r="A66" s="47"/>
      <c r="B66" s="48"/>
      <c r="C66" s="49"/>
      <c r="D66" s="100"/>
      <c r="E66" s="64"/>
      <c r="F66" s="65"/>
      <c r="G66" s="60">
        <f>'MOUVEMENTS ENTREE'!D57+'MOUVEMENTS ENTREE'!E57+'MOUVEMENTS ENTREE'!F57+'MOUVEMENTS ENTREE'!G57+'MOUVEMENTS ENTREE'!H57+'MOUVEMENTS ENTREE'!I57</f>
        <v>0</v>
      </c>
      <c r="H66" s="61">
        <f>'MVMTS SORTIES &amp; FABRICATIONS'!D57+'MVMTS SORTIES &amp; FABRICATIONS'!E57+'MVMTS SORTIES &amp; FABRICATIONS'!F57+'MVMTS SORTIES &amp; FABRICATIONS'!G57+'MVMTS SORTIES &amp; FABRICATIONS'!H57+'MVMTS SORTIES &amp; FABRICATIONS'!I57+'MVMTS SORTIES &amp; FABRICATIONS'!J57+'VENTES FRANCE'!D57+'VENTES FRANCE'!E57+'VENTES FRANCE'!F57+'VENTES FRANCE'!G57+'VENTES FRANCE'!H57+'VENTES EXPORT &amp; VINS VINES'!D56+'VENTES EXPORT &amp; VINS VINES'!E56+'VENTES EXPORT &amp; VINS VINES'!F56+'VENTES EXPORT &amp; VINS VINES'!G56</f>
        <v>0</v>
      </c>
      <c r="I66" s="66">
        <f t="shared" si="0"/>
        <v>0</v>
      </c>
      <c r="J66" s="97">
        <v>0</v>
      </c>
    </row>
    <row r="67" spans="1:10" x14ac:dyDescent="0.2">
      <c r="A67" s="47"/>
      <c r="B67" s="48"/>
      <c r="C67" s="49"/>
      <c r="D67" s="100"/>
      <c r="E67" s="64"/>
      <c r="F67" s="65"/>
      <c r="G67" s="60">
        <f>'MOUVEMENTS ENTREE'!D58+'MOUVEMENTS ENTREE'!E58+'MOUVEMENTS ENTREE'!F58+'MOUVEMENTS ENTREE'!G58+'MOUVEMENTS ENTREE'!H58+'MOUVEMENTS ENTREE'!I58</f>
        <v>0</v>
      </c>
      <c r="H67" s="66">
        <f>'MVMTS SORTIES &amp; FABRICATIONS'!D58+'MVMTS SORTIES &amp; FABRICATIONS'!E58+'MVMTS SORTIES &amp; FABRICATIONS'!F58+'MVMTS SORTIES &amp; FABRICATIONS'!G58+'MVMTS SORTIES &amp; FABRICATIONS'!H58+'MVMTS SORTIES &amp; FABRICATIONS'!I58+'MVMTS SORTIES &amp; FABRICATIONS'!J58+'VENTES FRANCE'!D58+'VENTES FRANCE'!E58+'VENTES FRANCE'!F58+'VENTES FRANCE'!G58+'VENTES FRANCE'!H58+'VENTES EXPORT &amp; VINS VINES'!D57+'VENTES EXPORT &amp; VINS VINES'!E57+'VENTES EXPORT &amp; VINS VINES'!F57+'VENTES EXPORT &amp; VINS VINES'!G57</f>
        <v>0</v>
      </c>
      <c r="I67" s="66">
        <f t="shared" si="0"/>
        <v>0</v>
      </c>
      <c r="J67" s="97">
        <v>0</v>
      </c>
    </row>
    <row r="68" spans="1:10" x14ac:dyDescent="0.2">
      <c r="A68" s="47"/>
      <c r="B68" s="48"/>
      <c r="C68" s="49"/>
      <c r="D68" s="100"/>
      <c r="E68" s="64"/>
      <c r="F68" s="65"/>
      <c r="G68" s="60">
        <f>'MOUVEMENTS ENTREE'!D59+'MOUVEMENTS ENTREE'!E59+'MOUVEMENTS ENTREE'!F59+'MOUVEMENTS ENTREE'!G59+'MOUVEMENTS ENTREE'!H59+'MOUVEMENTS ENTREE'!I59</f>
        <v>0</v>
      </c>
      <c r="H68" s="66">
        <f>'MVMTS SORTIES &amp; FABRICATIONS'!D59+'MVMTS SORTIES &amp; FABRICATIONS'!E59+'MVMTS SORTIES &amp; FABRICATIONS'!F59+'MVMTS SORTIES &amp; FABRICATIONS'!G59+'MVMTS SORTIES &amp; FABRICATIONS'!H59+'MVMTS SORTIES &amp; FABRICATIONS'!I59+'MVMTS SORTIES &amp; FABRICATIONS'!J59+'VENTES FRANCE'!D59+'VENTES FRANCE'!E59+'VENTES FRANCE'!F59+'VENTES FRANCE'!G59+'VENTES FRANCE'!H59+'VENTES EXPORT &amp; VINS VINES'!D58+'VENTES EXPORT &amp; VINS VINES'!E58+'VENTES EXPORT &amp; VINS VINES'!F58+'VENTES EXPORT &amp; VINS VINES'!G58</f>
        <v>0</v>
      </c>
      <c r="I68" s="66">
        <f t="shared" si="0"/>
        <v>0</v>
      </c>
      <c r="J68" s="97">
        <v>0</v>
      </c>
    </row>
    <row r="69" spans="1:10" x14ac:dyDescent="0.2">
      <c r="A69" s="47"/>
      <c r="B69" s="48"/>
      <c r="C69" s="49"/>
      <c r="D69" s="100"/>
      <c r="E69" s="64"/>
      <c r="F69" s="65"/>
      <c r="G69" s="60">
        <f>'MOUVEMENTS ENTREE'!D60+'MOUVEMENTS ENTREE'!E60+'MOUVEMENTS ENTREE'!F60+'MOUVEMENTS ENTREE'!G60+'MOUVEMENTS ENTREE'!H60+'MOUVEMENTS ENTREE'!I60</f>
        <v>0</v>
      </c>
      <c r="H69" s="66">
        <f>'MVMTS SORTIES &amp; FABRICATIONS'!D60+'MVMTS SORTIES &amp; FABRICATIONS'!E60+'MVMTS SORTIES &amp; FABRICATIONS'!F60+'MVMTS SORTIES &amp; FABRICATIONS'!G60+'MVMTS SORTIES &amp; FABRICATIONS'!H60+'MVMTS SORTIES &amp; FABRICATIONS'!I60+'MVMTS SORTIES &amp; FABRICATIONS'!J60+'VENTES FRANCE'!D60+'VENTES FRANCE'!E60+'VENTES FRANCE'!F60+'VENTES FRANCE'!G60+'VENTES FRANCE'!H60+'VENTES EXPORT &amp; VINS VINES'!D59+'VENTES EXPORT &amp; VINS VINES'!E59+'VENTES EXPORT &amp; VINS VINES'!F59+'VENTES EXPORT &amp; VINS VINES'!G59</f>
        <v>0</v>
      </c>
      <c r="I69" s="66">
        <f t="shared" si="0"/>
        <v>0</v>
      </c>
      <c r="J69" s="97">
        <v>0</v>
      </c>
    </row>
    <row r="70" spans="1:10" x14ac:dyDescent="0.2">
      <c r="A70" s="47"/>
      <c r="B70" s="48"/>
      <c r="C70" s="49"/>
      <c r="D70" s="100"/>
      <c r="E70" s="64"/>
      <c r="F70" s="65"/>
      <c r="G70" s="60">
        <f>'MOUVEMENTS ENTREE'!D61+'MOUVEMENTS ENTREE'!E61+'MOUVEMENTS ENTREE'!F61+'MOUVEMENTS ENTREE'!G61+'MOUVEMENTS ENTREE'!H61+'MOUVEMENTS ENTREE'!I61</f>
        <v>0</v>
      </c>
      <c r="H70" s="66">
        <f>'MVMTS SORTIES &amp; FABRICATIONS'!D61+'MVMTS SORTIES &amp; FABRICATIONS'!E61+'MVMTS SORTIES &amp; FABRICATIONS'!F61+'MVMTS SORTIES &amp; FABRICATIONS'!G61+'MVMTS SORTIES &amp; FABRICATIONS'!H61+'MVMTS SORTIES &amp; FABRICATIONS'!I61+'MVMTS SORTIES &amp; FABRICATIONS'!J61+'VENTES FRANCE'!D61+'VENTES FRANCE'!E61+'VENTES FRANCE'!F61+'VENTES FRANCE'!G61+'VENTES FRANCE'!H61+'VENTES EXPORT &amp; VINS VINES'!D60+'VENTES EXPORT &amp; VINS VINES'!E60+'VENTES EXPORT &amp; VINS VINES'!F60+'VENTES EXPORT &amp; VINS VINES'!G60</f>
        <v>0</v>
      </c>
      <c r="I70" s="66">
        <f t="shared" si="0"/>
        <v>0</v>
      </c>
      <c r="J70" s="97">
        <v>0</v>
      </c>
    </row>
    <row r="71" spans="1:10" x14ac:dyDescent="0.2">
      <c r="A71" s="47"/>
      <c r="B71" s="48"/>
      <c r="C71" s="49"/>
      <c r="D71" s="100"/>
      <c r="E71" s="64"/>
      <c r="F71" s="65"/>
      <c r="G71" s="60">
        <f>'MOUVEMENTS ENTREE'!D62+'MOUVEMENTS ENTREE'!E62+'MOUVEMENTS ENTREE'!F62+'MOUVEMENTS ENTREE'!G62+'MOUVEMENTS ENTREE'!H62+'MOUVEMENTS ENTREE'!I62</f>
        <v>0</v>
      </c>
      <c r="H71" s="66">
        <f>'MVMTS SORTIES &amp; FABRICATIONS'!D62+'MVMTS SORTIES &amp; FABRICATIONS'!E62+'MVMTS SORTIES &amp; FABRICATIONS'!F62+'MVMTS SORTIES &amp; FABRICATIONS'!G62+'MVMTS SORTIES &amp; FABRICATIONS'!H62+'MVMTS SORTIES &amp; FABRICATIONS'!I62+'MVMTS SORTIES &amp; FABRICATIONS'!J62+'VENTES FRANCE'!D62+'VENTES FRANCE'!E62+'VENTES FRANCE'!F62+'VENTES FRANCE'!G62+'VENTES FRANCE'!H62+'VENTES EXPORT &amp; VINS VINES'!D61+'VENTES EXPORT &amp; VINS VINES'!E61+'VENTES EXPORT &amp; VINS VINES'!F61+'VENTES EXPORT &amp; VINS VINES'!G61</f>
        <v>0</v>
      </c>
      <c r="I71" s="66">
        <f t="shared" si="0"/>
        <v>0</v>
      </c>
      <c r="J71" s="97">
        <v>0</v>
      </c>
    </row>
    <row r="72" spans="1:10" x14ac:dyDescent="0.2">
      <c r="A72" s="47"/>
      <c r="B72" s="48"/>
      <c r="C72" s="49"/>
      <c r="D72" s="100"/>
      <c r="E72" s="64"/>
      <c r="F72" s="65"/>
      <c r="G72" s="60">
        <f>'MOUVEMENTS ENTREE'!D63+'MOUVEMENTS ENTREE'!E63+'MOUVEMENTS ENTREE'!F63+'MOUVEMENTS ENTREE'!G63+'MOUVEMENTS ENTREE'!H63+'MOUVEMENTS ENTREE'!I63</f>
        <v>0</v>
      </c>
      <c r="H72" s="66">
        <f>'MVMTS SORTIES &amp; FABRICATIONS'!D63+'MVMTS SORTIES &amp; FABRICATIONS'!E63+'MVMTS SORTIES &amp; FABRICATIONS'!F63+'MVMTS SORTIES &amp; FABRICATIONS'!G63+'MVMTS SORTIES &amp; FABRICATIONS'!H63+'MVMTS SORTIES &amp; FABRICATIONS'!I63+'MVMTS SORTIES &amp; FABRICATIONS'!J63+'VENTES FRANCE'!D63+'VENTES FRANCE'!E63+'VENTES FRANCE'!F63+'VENTES FRANCE'!G63+'VENTES FRANCE'!H63+'VENTES EXPORT &amp; VINS VINES'!D62+'VENTES EXPORT &amp; VINS VINES'!E62+'VENTES EXPORT &amp; VINS VINES'!F62+'VENTES EXPORT &amp; VINS VINES'!G62</f>
        <v>0</v>
      </c>
      <c r="I72" s="66">
        <f t="shared" si="0"/>
        <v>0</v>
      </c>
      <c r="J72" s="97">
        <v>0</v>
      </c>
    </row>
    <row r="73" spans="1:10" x14ac:dyDescent="0.2">
      <c r="A73" s="47"/>
      <c r="B73" s="48"/>
      <c r="C73" s="49"/>
      <c r="D73" s="100"/>
      <c r="E73" s="64"/>
      <c r="F73" s="65"/>
      <c r="G73" s="60">
        <f>'MOUVEMENTS ENTREE'!D64+'MOUVEMENTS ENTREE'!E64+'MOUVEMENTS ENTREE'!F64+'MOUVEMENTS ENTREE'!G64+'MOUVEMENTS ENTREE'!H64+'MOUVEMENTS ENTREE'!I64</f>
        <v>0</v>
      </c>
      <c r="H73" s="66">
        <f>'MVMTS SORTIES &amp; FABRICATIONS'!D64+'MVMTS SORTIES &amp; FABRICATIONS'!E64+'MVMTS SORTIES &amp; FABRICATIONS'!F64+'MVMTS SORTIES &amp; FABRICATIONS'!G64+'MVMTS SORTIES &amp; FABRICATIONS'!H64+'MVMTS SORTIES &amp; FABRICATIONS'!I64+'MVMTS SORTIES &amp; FABRICATIONS'!J64+'VENTES FRANCE'!D64+'VENTES FRANCE'!E64+'VENTES FRANCE'!F64+'VENTES FRANCE'!G64+'VENTES FRANCE'!H64+'VENTES EXPORT &amp; VINS VINES'!D63+'VENTES EXPORT &amp; VINS VINES'!E63+'VENTES EXPORT &amp; VINS VINES'!F63+'VENTES EXPORT &amp; VINS VINES'!G63</f>
        <v>0</v>
      </c>
      <c r="I73" s="66">
        <f t="shared" si="0"/>
        <v>0</v>
      </c>
      <c r="J73" s="97">
        <v>0</v>
      </c>
    </row>
    <row r="74" spans="1:10" x14ac:dyDescent="0.2">
      <c r="A74" s="47"/>
      <c r="B74" s="48"/>
      <c r="C74" s="49"/>
      <c r="D74" s="100"/>
      <c r="E74" s="64"/>
      <c r="F74" s="65"/>
      <c r="G74" s="60">
        <f>'MOUVEMENTS ENTREE'!D65+'MOUVEMENTS ENTREE'!E65+'MOUVEMENTS ENTREE'!F65+'MOUVEMENTS ENTREE'!G65+'MOUVEMENTS ENTREE'!H65+'MOUVEMENTS ENTREE'!I65</f>
        <v>0</v>
      </c>
      <c r="H74" s="66">
        <f>'MVMTS SORTIES &amp; FABRICATIONS'!D65+'MVMTS SORTIES &amp; FABRICATIONS'!E65+'MVMTS SORTIES &amp; FABRICATIONS'!F65+'MVMTS SORTIES &amp; FABRICATIONS'!G65+'MVMTS SORTIES &amp; FABRICATIONS'!H65+'MVMTS SORTIES &amp; FABRICATIONS'!I65+'MVMTS SORTIES &amp; FABRICATIONS'!J65+'VENTES FRANCE'!D65+'VENTES FRANCE'!E65+'VENTES FRANCE'!F65+'VENTES FRANCE'!G65+'VENTES FRANCE'!H65+'VENTES EXPORT &amp; VINS VINES'!D64+'VENTES EXPORT &amp; VINS VINES'!E64+'VENTES EXPORT &amp; VINS VINES'!F64+'VENTES EXPORT &amp; VINS VINES'!G64</f>
        <v>0</v>
      </c>
      <c r="I74" s="66">
        <f t="shared" si="0"/>
        <v>0</v>
      </c>
      <c r="J74" s="97">
        <v>0</v>
      </c>
    </row>
    <row r="75" spans="1:10" x14ac:dyDescent="0.2">
      <c r="A75" s="47"/>
      <c r="B75" s="48"/>
      <c r="C75" s="49"/>
      <c r="D75" s="100"/>
      <c r="E75" s="64"/>
      <c r="F75" s="65"/>
      <c r="G75" s="60">
        <f>'MOUVEMENTS ENTREE'!D66+'MOUVEMENTS ENTREE'!E66+'MOUVEMENTS ENTREE'!F66+'MOUVEMENTS ENTREE'!G66+'MOUVEMENTS ENTREE'!H66+'MOUVEMENTS ENTREE'!I66</f>
        <v>0</v>
      </c>
      <c r="H75" s="66">
        <f>'MVMTS SORTIES &amp; FABRICATIONS'!D66+'MVMTS SORTIES &amp; FABRICATIONS'!E66+'MVMTS SORTIES &amp; FABRICATIONS'!F66+'MVMTS SORTIES &amp; FABRICATIONS'!G66+'MVMTS SORTIES &amp; FABRICATIONS'!H66+'MVMTS SORTIES &amp; FABRICATIONS'!I66+'MVMTS SORTIES &amp; FABRICATIONS'!J66+'VENTES FRANCE'!D66+'VENTES FRANCE'!E66+'VENTES FRANCE'!F66+'VENTES FRANCE'!G66+'VENTES FRANCE'!H66+'VENTES EXPORT &amp; VINS VINES'!D65+'VENTES EXPORT &amp; VINS VINES'!E65+'VENTES EXPORT &amp; VINS VINES'!F65+'VENTES EXPORT &amp; VINS VINES'!G65</f>
        <v>0</v>
      </c>
      <c r="I75" s="66">
        <f t="shared" si="0"/>
        <v>0</v>
      </c>
      <c r="J75" s="97">
        <v>0</v>
      </c>
    </row>
    <row r="76" spans="1:10" x14ac:dyDescent="0.2">
      <c r="A76" s="47"/>
      <c r="B76" s="48"/>
      <c r="C76" s="49"/>
      <c r="D76" s="100"/>
      <c r="E76" s="64"/>
      <c r="F76" s="65"/>
      <c r="G76" s="60">
        <f>'MOUVEMENTS ENTREE'!D67+'MOUVEMENTS ENTREE'!E67+'MOUVEMENTS ENTREE'!F67+'MOUVEMENTS ENTREE'!G67+'MOUVEMENTS ENTREE'!H67+'MOUVEMENTS ENTREE'!I67</f>
        <v>0</v>
      </c>
      <c r="H76" s="66">
        <f>'MVMTS SORTIES &amp; FABRICATIONS'!D67+'MVMTS SORTIES &amp; FABRICATIONS'!E67+'MVMTS SORTIES &amp; FABRICATIONS'!F67+'MVMTS SORTIES &amp; FABRICATIONS'!G67+'MVMTS SORTIES &amp; FABRICATIONS'!H67+'MVMTS SORTIES &amp; FABRICATIONS'!I67+'MVMTS SORTIES &amp; FABRICATIONS'!J67+'VENTES FRANCE'!D67+'VENTES FRANCE'!E67+'VENTES FRANCE'!F67+'VENTES FRANCE'!G67+'VENTES FRANCE'!H67+'VENTES EXPORT &amp; VINS VINES'!D66+'VENTES EXPORT &amp; VINS VINES'!E66+'VENTES EXPORT &amp; VINS VINES'!F66+'VENTES EXPORT &amp; VINS VINES'!G66</f>
        <v>0</v>
      </c>
      <c r="I76" s="66">
        <f t="shared" si="0"/>
        <v>0</v>
      </c>
      <c r="J76" s="97">
        <v>0</v>
      </c>
    </row>
    <row r="77" spans="1:10" x14ac:dyDescent="0.2">
      <c r="A77" s="47"/>
      <c r="B77" s="48"/>
      <c r="C77" s="49"/>
      <c r="D77" s="100"/>
      <c r="E77" s="64"/>
      <c r="F77" s="65"/>
      <c r="G77" s="60">
        <f>'MOUVEMENTS ENTREE'!D68+'MOUVEMENTS ENTREE'!E68+'MOUVEMENTS ENTREE'!F68+'MOUVEMENTS ENTREE'!G68+'MOUVEMENTS ENTREE'!H68+'MOUVEMENTS ENTREE'!I68</f>
        <v>0</v>
      </c>
      <c r="H77" s="66">
        <f>'MVMTS SORTIES &amp; FABRICATIONS'!D68+'MVMTS SORTIES &amp; FABRICATIONS'!E68+'MVMTS SORTIES &amp; FABRICATIONS'!F68+'MVMTS SORTIES &amp; FABRICATIONS'!G68+'MVMTS SORTIES &amp; FABRICATIONS'!H68+'MVMTS SORTIES &amp; FABRICATIONS'!I68+'MVMTS SORTIES &amp; FABRICATIONS'!J68+'VENTES FRANCE'!D68+'VENTES FRANCE'!E68+'VENTES FRANCE'!F68+'VENTES FRANCE'!G68+'VENTES FRANCE'!H68+'VENTES EXPORT &amp; VINS VINES'!D67+'VENTES EXPORT &amp; VINS VINES'!E67+'VENTES EXPORT &amp; VINS VINES'!F67+'VENTES EXPORT &amp; VINS VINES'!G67</f>
        <v>0</v>
      </c>
      <c r="I77" s="66">
        <f t="shared" si="0"/>
        <v>0</v>
      </c>
      <c r="J77" s="97">
        <v>0</v>
      </c>
    </row>
    <row r="78" spans="1:10" x14ac:dyDescent="0.2">
      <c r="A78" s="47"/>
      <c r="B78" s="48"/>
      <c r="C78" s="49"/>
      <c r="D78" s="100"/>
      <c r="E78" s="64"/>
      <c r="F78" s="65"/>
      <c r="G78" s="60">
        <f>'MOUVEMENTS ENTREE'!D69+'MOUVEMENTS ENTREE'!E69+'MOUVEMENTS ENTREE'!F69+'MOUVEMENTS ENTREE'!G69+'MOUVEMENTS ENTREE'!H69+'MOUVEMENTS ENTREE'!I69</f>
        <v>0</v>
      </c>
      <c r="H78" s="66">
        <f>'MVMTS SORTIES &amp; FABRICATIONS'!D69+'MVMTS SORTIES &amp; FABRICATIONS'!E69+'MVMTS SORTIES &amp; FABRICATIONS'!F69+'MVMTS SORTIES &amp; FABRICATIONS'!G69+'MVMTS SORTIES &amp; FABRICATIONS'!H69+'MVMTS SORTIES &amp; FABRICATIONS'!I69+'MVMTS SORTIES &amp; FABRICATIONS'!J69+'VENTES FRANCE'!D69+'VENTES FRANCE'!E69+'VENTES FRANCE'!F69+'VENTES FRANCE'!G69+'VENTES FRANCE'!H69+'VENTES EXPORT &amp; VINS VINES'!D68+'VENTES EXPORT &amp; VINS VINES'!E68+'VENTES EXPORT &amp; VINS VINES'!F68+'VENTES EXPORT &amp; VINS VINES'!G68</f>
        <v>0</v>
      </c>
      <c r="I78" s="66">
        <f t="shared" si="0"/>
        <v>0</v>
      </c>
      <c r="J78" s="97">
        <v>0</v>
      </c>
    </row>
    <row r="79" spans="1:10" x14ac:dyDescent="0.2">
      <c r="A79" s="47"/>
      <c r="B79" s="48"/>
      <c r="C79" s="49"/>
      <c r="D79" s="100"/>
      <c r="E79" s="64"/>
      <c r="F79" s="65"/>
      <c r="G79" s="60">
        <f>'MOUVEMENTS ENTREE'!D70+'MOUVEMENTS ENTREE'!E70+'MOUVEMENTS ENTREE'!F70+'MOUVEMENTS ENTREE'!G70+'MOUVEMENTS ENTREE'!H70+'MOUVEMENTS ENTREE'!I70</f>
        <v>0</v>
      </c>
      <c r="H79" s="66">
        <f>'MVMTS SORTIES &amp; FABRICATIONS'!D70+'MVMTS SORTIES &amp; FABRICATIONS'!E70+'MVMTS SORTIES &amp; FABRICATIONS'!F70+'MVMTS SORTIES &amp; FABRICATIONS'!G70+'MVMTS SORTIES &amp; FABRICATIONS'!H70+'MVMTS SORTIES &amp; FABRICATIONS'!I70+'MVMTS SORTIES &amp; FABRICATIONS'!J70+'VENTES FRANCE'!D70+'VENTES FRANCE'!E70+'VENTES FRANCE'!F70+'VENTES FRANCE'!G70+'VENTES FRANCE'!H70+'VENTES EXPORT &amp; VINS VINES'!D69+'VENTES EXPORT &amp; VINS VINES'!E69+'VENTES EXPORT &amp; VINS VINES'!F69+'VENTES EXPORT &amp; VINS VINES'!G69</f>
        <v>0</v>
      </c>
      <c r="I79" s="66">
        <f t="shared" si="0"/>
        <v>0</v>
      </c>
      <c r="J79" s="97">
        <v>0</v>
      </c>
    </row>
    <row r="80" spans="1:10" x14ac:dyDescent="0.2">
      <c r="A80" s="47"/>
      <c r="B80" s="48"/>
      <c r="C80" s="49"/>
      <c r="D80" s="100"/>
      <c r="E80" s="64"/>
      <c r="F80" s="65"/>
      <c r="G80" s="60">
        <f>'MOUVEMENTS ENTREE'!D71+'MOUVEMENTS ENTREE'!E71+'MOUVEMENTS ENTREE'!F71+'MOUVEMENTS ENTREE'!G71+'MOUVEMENTS ENTREE'!H71+'MOUVEMENTS ENTREE'!I71</f>
        <v>0</v>
      </c>
      <c r="H80" s="66">
        <f>'MVMTS SORTIES &amp; FABRICATIONS'!D71+'MVMTS SORTIES &amp; FABRICATIONS'!E71+'MVMTS SORTIES &amp; FABRICATIONS'!F71+'MVMTS SORTIES &amp; FABRICATIONS'!G71+'MVMTS SORTIES &amp; FABRICATIONS'!H71+'MVMTS SORTIES &amp; FABRICATIONS'!I71+'MVMTS SORTIES &amp; FABRICATIONS'!J71+'VENTES FRANCE'!D71+'VENTES FRANCE'!E71+'VENTES FRANCE'!F71+'VENTES FRANCE'!G71+'VENTES FRANCE'!H71+'VENTES EXPORT &amp; VINS VINES'!D70+'VENTES EXPORT &amp; VINS VINES'!E70+'VENTES EXPORT &amp; VINS VINES'!F70+'VENTES EXPORT &amp; VINS VINES'!G70</f>
        <v>0</v>
      </c>
      <c r="I80" s="66">
        <f t="shared" si="0"/>
        <v>0</v>
      </c>
      <c r="J80" s="97">
        <v>0</v>
      </c>
    </row>
    <row r="81" spans="1:10" x14ac:dyDescent="0.2">
      <c r="A81" s="47"/>
      <c r="B81" s="48"/>
      <c r="C81" s="49"/>
      <c r="D81" s="100"/>
      <c r="E81" s="64"/>
      <c r="F81" s="65"/>
      <c r="G81" s="60">
        <f>'MOUVEMENTS ENTREE'!D72+'MOUVEMENTS ENTREE'!E72+'MOUVEMENTS ENTREE'!F72+'MOUVEMENTS ENTREE'!G72+'MOUVEMENTS ENTREE'!H72+'MOUVEMENTS ENTREE'!I72</f>
        <v>0</v>
      </c>
      <c r="H81" s="66">
        <f>'MVMTS SORTIES &amp; FABRICATIONS'!D72+'MVMTS SORTIES &amp; FABRICATIONS'!E72+'MVMTS SORTIES &amp; FABRICATIONS'!F72+'MVMTS SORTIES &amp; FABRICATIONS'!G72+'MVMTS SORTIES &amp; FABRICATIONS'!H72+'MVMTS SORTIES &amp; FABRICATIONS'!I72+'MVMTS SORTIES &amp; FABRICATIONS'!J72+'VENTES FRANCE'!D72+'VENTES FRANCE'!E72+'VENTES FRANCE'!F72+'VENTES FRANCE'!G72+'VENTES FRANCE'!H72+'VENTES EXPORT &amp; VINS VINES'!D71+'VENTES EXPORT &amp; VINS VINES'!E71+'VENTES EXPORT &amp; VINS VINES'!F71+'VENTES EXPORT &amp; VINS VINES'!G71</f>
        <v>0</v>
      </c>
      <c r="I81" s="66">
        <f t="shared" si="0"/>
        <v>0</v>
      </c>
      <c r="J81" s="97">
        <v>0</v>
      </c>
    </row>
    <row r="82" spans="1:10" x14ac:dyDescent="0.2">
      <c r="A82" s="47"/>
      <c r="B82" s="48"/>
      <c r="C82" s="49"/>
      <c r="D82" s="100"/>
      <c r="E82" s="64"/>
      <c r="F82" s="65"/>
      <c r="G82" s="60">
        <f>'MOUVEMENTS ENTREE'!D73+'MOUVEMENTS ENTREE'!E73+'MOUVEMENTS ENTREE'!F73+'MOUVEMENTS ENTREE'!G73+'MOUVEMENTS ENTREE'!H73+'MOUVEMENTS ENTREE'!I73</f>
        <v>0</v>
      </c>
      <c r="H82" s="66">
        <f>'MVMTS SORTIES &amp; FABRICATIONS'!D73+'MVMTS SORTIES &amp; FABRICATIONS'!E73+'MVMTS SORTIES &amp; FABRICATIONS'!F73+'MVMTS SORTIES &amp; FABRICATIONS'!G73+'MVMTS SORTIES &amp; FABRICATIONS'!H73+'MVMTS SORTIES &amp; FABRICATIONS'!I73+'MVMTS SORTIES &amp; FABRICATIONS'!J73+'VENTES FRANCE'!D73+'VENTES FRANCE'!E73+'VENTES FRANCE'!F73+'VENTES FRANCE'!G73+'VENTES FRANCE'!H73+'VENTES EXPORT &amp; VINS VINES'!D72+'VENTES EXPORT &amp; VINS VINES'!E72+'VENTES EXPORT &amp; VINS VINES'!F72+'VENTES EXPORT &amp; VINS VINES'!G72</f>
        <v>0</v>
      </c>
      <c r="I82" s="66">
        <f t="shared" si="0"/>
        <v>0</v>
      </c>
      <c r="J82" s="97">
        <v>0</v>
      </c>
    </row>
    <row r="83" spans="1:10" x14ac:dyDescent="0.2">
      <c r="A83" s="47"/>
      <c r="B83" s="48"/>
      <c r="C83" s="49"/>
      <c r="D83" s="100"/>
      <c r="E83" s="64"/>
      <c r="F83" s="65"/>
      <c r="G83" s="60">
        <f>'MOUVEMENTS ENTREE'!D74+'MOUVEMENTS ENTREE'!E74+'MOUVEMENTS ENTREE'!F74+'MOUVEMENTS ENTREE'!G74+'MOUVEMENTS ENTREE'!H74+'MOUVEMENTS ENTREE'!I74</f>
        <v>0</v>
      </c>
      <c r="H83" s="66">
        <f>'MVMTS SORTIES &amp; FABRICATIONS'!D74+'MVMTS SORTIES &amp; FABRICATIONS'!E74+'MVMTS SORTIES &amp; FABRICATIONS'!F74+'MVMTS SORTIES &amp; FABRICATIONS'!G74+'MVMTS SORTIES &amp; FABRICATIONS'!H74+'MVMTS SORTIES &amp; FABRICATIONS'!I74+'MVMTS SORTIES &amp; FABRICATIONS'!J74+'VENTES FRANCE'!D74+'VENTES FRANCE'!E74+'VENTES FRANCE'!F74+'VENTES FRANCE'!G74+'VENTES FRANCE'!H74+'VENTES EXPORT &amp; VINS VINES'!D73+'VENTES EXPORT &amp; VINS VINES'!E73+'VENTES EXPORT &amp; VINS VINES'!F73+'VENTES EXPORT &amp; VINS VINES'!G73</f>
        <v>0</v>
      </c>
      <c r="I83" s="66">
        <f t="shared" ref="I83:I146" si="1">D83+E83+F83+G83-H83</f>
        <v>0</v>
      </c>
      <c r="J83" s="97">
        <v>0</v>
      </c>
    </row>
    <row r="84" spans="1:10" x14ac:dyDescent="0.2">
      <c r="A84" s="47"/>
      <c r="B84" s="48"/>
      <c r="C84" s="49"/>
      <c r="D84" s="100"/>
      <c r="E84" s="64"/>
      <c r="F84" s="65"/>
      <c r="G84" s="60">
        <f>'MOUVEMENTS ENTREE'!D75+'MOUVEMENTS ENTREE'!E75+'MOUVEMENTS ENTREE'!F75+'MOUVEMENTS ENTREE'!G75+'MOUVEMENTS ENTREE'!H75+'MOUVEMENTS ENTREE'!I75</f>
        <v>0</v>
      </c>
      <c r="H84" s="66">
        <f>'MVMTS SORTIES &amp; FABRICATIONS'!D75+'MVMTS SORTIES &amp; FABRICATIONS'!E75+'MVMTS SORTIES &amp; FABRICATIONS'!F75+'MVMTS SORTIES &amp; FABRICATIONS'!G75+'MVMTS SORTIES &amp; FABRICATIONS'!H75+'MVMTS SORTIES &amp; FABRICATIONS'!I75+'MVMTS SORTIES &amp; FABRICATIONS'!J75+'VENTES FRANCE'!D75+'VENTES FRANCE'!E75+'VENTES FRANCE'!F75+'VENTES FRANCE'!G75+'VENTES FRANCE'!H75+'VENTES EXPORT &amp; VINS VINES'!D74+'VENTES EXPORT &amp; VINS VINES'!E74+'VENTES EXPORT &amp; VINS VINES'!F74+'VENTES EXPORT &amp; VINS VINES'!G74</f>
        <v>0</v>
      </c>
      <c r="I84" s="66">
        <f t="shared" si="1"/>
        <v>0</v>
      </c>
      <c r="J84" s="97">
        <v>0</v>
      </c>
    </row>
    <row r="85" spans="1:10" x14ac:dyDescent="0.2">
      <c r="A85" s="47"/>
      <c r="B85" s="48"/>
      <c r="C85" s="49"/>
      <c r="D85" s="100"/>
      <c r="E85" s="64"/>
      <c r="F85" s="65"/>
      <c r="G85" s="60">
        <f>'MOUVEMENTS ENTREE'!D76+'MOUVEMENTS ENTREE'!E76+'MOUVEMENTS ENTREE'!F76+'MOUVEMENTS ENTREE'!G76+'MOUVEMENTS ENTREE'!H76+'MOUVEMENTS ENTREE'!I76</f>
        <v>0</v>
      </c>
      <c r="H85" s="66">
        <f>'MVMTS SORTIES &amp; FABRICATIONS'!D76+'MVMTS SORTIES &amp; FABRICATIONS'!E76+'MVMTS SORTIES &amp; FABRICATIONS'!F76+'MVMTS SORTIES &amp; FABRICATIONS'!G76+'MVMTS SORTIES &amp; FABRICATIONS'!H76+'MVMTS SORTIES &amp; FABRICATIONS'!I76+'MVMTS SORTIES &amp; FABRICATIONS'!J76+'VENTES FRANCE'!D76+'VENTES FRANCE'!E76+'VENTES FRANCE'!F76+'VENTES FRANCE'!G76+'VENTES FRANCE'!H76+'VENTES EXPORT &amp; VINS VINES'!D75+'VENTES EXPORT &amp; VINS VINES'!E75+'VENTES EXPORT &amp; VINS VINES'!F75+'VENTES EXPORT &amp; VINS VINES'!G75</f>
        <v>0</v>
      </c>
      <c r="I85" s="66">
        <f t="shared" si="1"/>
        <v>0</v>
      </c>
      <c r="J85" s="97">
        <v>0</v>
      </c>
    </row>
    <row r="86" spans="1:10" x14ac:dyDescent="0.2">
      <c r="A86" s="47"/>
      <c r="B86" s="48"/>
      <c r="C86" s="49"/>
      <c r="D86" s="100"/>
      <c r="E86" s="64"/>
      <c r="F86" s="65"/>
      <c r="G86" s="60">
        <f>'MOUVEMENTS ENTREE'!D77+'MOUVEMENTS ENTREE'!E77+'MOUVEMENTS ENTREE'!F77+'MOUVEMENTS ENTREE'!G77+'MOUVEMENTS ENTREE'!H77+'MOUVEMENTS ENTREE'!I77</f>
        <v>0</v>
      </c>
      <c r="H86" s="66">
        <f>'MVMTS SORTIES &amp; FABRICATIONS'!D77+'MVMTS SORTIES &amp; FABRICATIONS'!E77+'MVMTS SORTIES &amp; FABRICATIONS'!F77+'MVMTS SORTIES &amp; FABRICATIONS'!G77+'MVMTS SORTIES &amp; FABRICATIONS'!H77+'MVMTS SORTIES &amp; FABRICATIONS'!I77+'MVMTS SORTIES &amp; FABRICATIONS'!J77+'VENTES FRANCE'!D77+'VENTES FRANCE'!E77+'VENTES FRANCE'!F77+'VENTES FRANCE'!G77+'VENTES FRANCE'!H77+'VENTES EXPORT &amp; VINS VINES'!D76+'VENTES EXPORT &amp; VINS VINES'!E76+'VENTES EXPORT &amp; VINS VINES'!F76+'VENTES EXPORT &amp; VINS VINES'!G76</f>
        <v>0</v>
      </c>
      <c r="I86" s="66">
        <f t="shared" si="1"/>
        <v>0</v>
      </c>
      <c r="J86" s="97">
        <v>0</v>
      </c>
    </row>
    <row r="87" spans="1:10" x14ac:dyDescent="0.2">
      <c r="A87" s="47"/>
      <c r="B87" s="48"/>
      <c r="C87" s="49"/>
      <c r="D87" s="100"/>
      <c r="E87" s="64"/>
      <c r="F87" s="65"/>
      <c r="G87" s="60">
        <f>'MOUVEMENTS ENTREE'!D78+'MOUVEMENTS ENTREE'!E78+'MOUVEMENTS ENTREE'!F78+'MOUVEMENTS ENTREE'!G78+'MOUVEMENTS ENTREE'!H78+'MOUVEMENTS ENTREE'!I78</f>
        <v>0</v>
      </c>
      <c r="H87" s="66">
        <f>'MVMTS SORTIES &amp; FABRICATIONS'!D78+'MVMTS SORTIES &amp; FABRICATIONS'!E78+'MVMTS SORTIES &amp; FABRICATIONS'!F78+'MVMTS SORTIES &amp; FABRICATIONS'!G78+'MVMTS SORTIES &amp; FABRICATIONS'!H78+'MVMTS SORTIES &amp; FABRICATIONS'!I78+'MVMTS SORTIES &amp; FABRICATIONS'!J78+'VENTES FRANCE'!D78+'VENTES FRANCE'!E78+'VENTES FRANCE'!F78+'VENTES FRANCE'!G78+'VENTES FRANCE'!H78+'VENTES EXPORT &amp; VINS VINES'!D77+'VENTES EXPORT &amp; VINS VINES'!E77+'VENTES EXPORT &amp; VINS VINES'!F77+'VENTES EXPORT &amp; VINS VINES'!G77</f>
        <v>0</v>
      </c>
      <c r="I87" s="66">
        <f t="shared" si="1"/>
        <v>0</v>
      </c>
      <c r="J87" s="97">
        <v>0</v>
      </c>
    </row>
    <row r="88" spans="1:10" x14ac:dyDescent="0.2">
      <c r="A88" s="47"/>
      <c r="B88" s="48"/>
      <c r="C88" s="49"/>
      <c r="D88" s="100"/>
      <c r="E88" s="64"/>
      <c r="F88" s="65"/>
      <c r="G88" s="60">
        <f>'MOUVEMENTS ENTREE'!D79+'MOUVEMENTS ENTREE'!E79+'MOUVEMENTS ENTREE'!F79+'MOUVEMENTS ENTREE'!G79+'MOUVEMENTS ENTREE'!H79+'MOUVEMENTS ENTREE'!I79</f>
        <v>0</v>
      </c>
      <c r="H88" s="66">
        <f>'MVMTS SORTIES &amp; FABRICATIONS'!D79+'MVMTS SORTIES &amp; FABRICATIONS'!E79+'MVMTS SORTIES &amp; FABRICATIONS'!F79+'MVMTS SORTIES &amp; FABRICATIONS'!G79+'MVMTS SORTIES &amp; FABRICATIONS'!H79+'MVMTS SORTIES &amp; FABRICATIONS'!I79+'MVMTS SORTIES &amp; FABRICATIONS'!J79+'VENTES FRANCE'!D79+'VENTES FRANCE'!E79+'VENTES FRANCE'!F79+'VENTES FRANCE'!G79+'VENTES FRANCE'!H79+'VENTES EXPORT &amp; VINS VINES'!D78+'VENTES EXPORT &amp; VINS VINES'!E78+'VENTES EXPORT &amp; VINS VINES'!F78+'VENTES EXPORT &amp; VINS VINES'!G78</f>
        <v>0</v>
      </c>
      <c r="I88" s="66">
        <f t="shared" si="1"/>
        <v>0</v>
      </c>
      <c r="J88" s="97">
        <v>0</v>
      </c>
    </row>
    <row r="89" spans="1:10" x14ac:dyDescent="0.2">
      <c r="A89" s="47"/>
      <c r="B89" s="48"/>
      <c r="C89" s="49"/>
      <c r="D89" s="100"/>
      <c r="E89" s="64"/>
      <c r="F89" s="65"/>
      <c r="G89" s="60">
        <f>'MOUVEMENTS ENTREE'!D80+'MOUVEMENTS ENTREE'!E80+'MOUVEMENTS ENTREE'!F80+'MOUVEMENTS ENTREE'!G80+'MOUVEMENTS ENTREE'!H80+'MOUVEMENTS ENTREE'!I80</f>
        <v>0</v>
      </c>
      <c r="H89" s="66">
        <f>'MVMTS SORTIES &amp; FABRICATIONS'!D80+'MVMTS SORTIES &amp; FABRICATIONS'!E80+'MVMTS SORTIES &amp; FABRICATIONS'!F80+'MVMTS SORTIES &amp; FABRICATIONS'!G80+'MVMTS SORTIES &amp; FABRICATIONS'!H80+'MVMTS SORTIES &amp; FABRICATIONS'!I80+'MVMTS SORTIES &amp; FABRICATIONS'!J80+'VENTES FRANCE'!D80+'VENTES FRANCE'!E80+'VENTES FRANCE'!F80+'VENTES FRANCE'!G80+'VENTES FRANCE'!H80+'VENTES EXPORT &amp; VINS VINES'!D79+'VENTES EXPORT &amp; VINS VINES'!E79+'VENTES EXPORT &amp; VINS VINES'!F79+'VENTES EXPORT &amp; VINS VINES'!G79</f>
        <v>0</v>
      </c>
      <c r="I89" s="66">
        <f t="shared" si="1"/>
        <v>0</v>
      </c>
      <c r="J89" s="97">
        <v>0</v>
      </c>
    </row>
    <row r="90" spans="1:10" x14ac:dyDescent="0.2">
      <c r="A90" s="47"/>
      <c r="B90" s="48"/>
      <c r="C90" s="49"/>
      <c r="D90" s="100"/>
      <c r="E90" s="64"/>
      <c r="F90" s="65"/>
      <c r="G90" s="60">
        <f>'MOUVEMENTS ENTREE'!D81+'MOUVEMENTS ENTREE'!E81+'MOUVEMENTS ENTREE'!F81+'MOUVEMENTS ENTREE'!G81+'MOUVEMENTS ENTREE'!H81+'MOUVEMENTS ENTREE'!I81</f>
        <v>0</v>
      </c>
      <c r="H90" s="66">
        <f>'MVMTS SORTIES &amp; FABRICATIONS'!D81+'MVMTS SORTIES &amp; FABRICATIONS'!E81+'MVMTS SORTIES &amp; FABRICATIONS'!F81+'MVMTS SORTIES &amp; FABRICATIONS'!G81+'MVMTS SORTIES &amp; FABRICATIONS'!H81+'MVMTS SORTIES &amp; FABRICATIONS'!I81+'MVMTS SORTIES &amp; FABRICATIONS'!J81+'VENTES FRANCE'!D81+'VENTES FRANCE'!E81+'VENTES FRANCE'!F81+'VENTES FRANCE'!G81+'VENTES FRANCE'!H81+'VENTES EXPORT &amp; VINS VINES'!D80+'VENTES EXPORT &amp; VINS VINES'!E80+'VENTES EXPORT &amp; VINS VINES'!F80+'VENTES EXPORT &amp; VINS VINES'!G80</f>
        <v>0</v>
      </c>
      <c r="I90" s="66">
        <f t="shared" si="1"/>
        <v>0</v>
      </c>
      <c r="J90" s="97">
        <v>0</v>
      </c>
    </row>
    <row r="91" spans="1:10" x14ac:dyDescent="0.2">
      <c r="A91" s="47"/>
      <c r="B91" s="48"/>
      <c r="C91" s="49"/>
      <c r="D91" s="100"/>
      <c r="E91" s="64"/>
      <c r="F91" s="65"/>
      <c r="G91" s="60">
        <f>'MOUVEMENTS ENTREE'!D82+'MOUVEMENTS ENTREE'!E82+'MOUVEMENTS ENTREE'!F82+'MOUVEMENTS ENTREE'!G82+'MOUVEMENTS ENTREE'!H82+'MOUVEMENTS ENTREE'!I82</f>
        <v>0</v>
      </c>
      <c r="H91" s="66">
        <f>'MVMTS SORTIES &amp; FABRICATIONS'!D82+'MVMTS SORTIES &amp; FABRICATIONS'!E82+'MVMTS SORTIES &amp; FABRICATIONS'!F82+'MVMTS SORTIES &amp; FABRICATIONS'!G82+'MVMTS SORTIES &amp; FABRICATIONS'!H82+'MVMTS SORTIES &amp; FABRICATIONS'!I82+'MVMTS SORTIES &amp; FABRICATIONS'!J82+'VENTES FRANCE'!D82+'VENTES FRANCE'!E82+'VENTES FRANCE'!F82+'VENTES FRANCE'!G82+'VENTES FRANCE'!H82+'VENTES EXPORT &amp; VINS VINES'!D81+'VENTES EXPORT &amp; VINS VINES'!E81+'VENTES EXPORT &amp; VINS VINES'!F81+'VENTES EXPORT &amp; VINS VINES'!G81</f>
        <v>0</v>
      </c>
      <c r="I91" s="66">
        <f t="shared" si="1"/>
        <v>0</v>
      </c>
      <c r="J91" s="97">
        <v>0</v>
      </c>
    </row>
    <row r="92" spans="1:10" x14ac:dyDescent="0.2">
      <c r="A92" s="47"/>
      <c r="B92" s="48"/>
      <c r="C92" s="49"/>
      <c r="D92" s="100"/>
      <c r="E92" s="64"/>
      <c r="F92" s="65"/>
      <c r="G92" s="60">
        <f>'MOUVEMENTS ENTREE'!D83+'MOUVEMENTS ENTREE'!E83+'MOUVEMENTS ENTREE'!F83+'MOUVEMENTS ENTREE'!G83+'MOUVEMENTS ENTREE'!H83+'MOUVEMENTS ENTREE'!I83</f>
        <v>0</v>
      </c>
      <c r="H92" s="66">
        <f>'MVMTS SORTIES &amp; FABRICATIONS'!D83+'MVMTS SORTIES &amp; FABRICATIONS'!E83+'MVMTS SORTIES &amp; FABRICATIONS'!F83+'MVMTS SORTIES &amp; FABRICATIONS'!G83+'MVMTS SORTIES &amp; FABRICATIONS'!H83+'MVMTS SORTIES &amp; FABRICATIONS'!I83+'MVMTS SORTIES &amp; FABRICATIONS'!J83+'VENTES FRANCE'!D83+'VENTES FRANCE'!E83+'VENTES FRANCE'!F83+'VENTES FRANCE'!G83+'VENTES FRANCE'!H83+'VENTES EXPORT &amp; VINS VINES'!D82+'VENTES EXPORT &amp; VINS VINES'!E82+'VENTES EXPORT &amp; VINS VINES'!F82+'VENTES EXPORT &amp; VINS VINES'!G82</f>
        <v>0</v>
      </c>
      <c r="I92" s="66">
        <f t="shared" si="1"/>
        <v>0</v>
      </c>
      <c r="J92" s="97">
        <v>0</v>
      </c>
    </row>
    <row r="93" spans="1:10" x14ac:dyDescent="0.2">
      <c r="A93" s="47"/>
      <c r="B93" s="48"/>
      <c r="C93" s="49"/>
      <c r="D93" s="100"/>
      <c r="E93" s="64"/>
      <c r="F93" s="65"/>
      <c r="G93" s="60">
        <f>'MOUVEMENTS ENTREE'!D84+'MOUVEMENTS ENTREE'!E84+'MOUVEMENTS ENTREE'!F84+'MOUVEMENTS ENTREE'!G84+'MOUVEMENTS ENTREE'!H84+'MOUVEMENTS ENTREE'!I84</f>
        <v>0</v>
      </c>
      <c r="H93" s="66">
        <f>'MVMTS SORTIES &amp; FABRICATIONS'!D84+'MVMTS SORTIES &amp; FABRICATIONS'!E84+'MVMTS SORTIES &amp; FABRICATIONS'!F84+'MVMTS SORTIES &amp; FABRICATIONS'!G84+'MVMTS SORTIES &amp; FABRICATIONS'!H84+'MVMTS SORTIES &amp; FABRICATIONS'!I84+'MVMTS SORTIES &amp; FABRICATIONS'!J84+'VENTES FRANCE'!D84+'VENTES FRANCE'!E84+'VENTES FRANCE'!F84+'VENTES FRANCE'!G84+'VENTES FRANCE'!H84+'VENTES EXPORT &amp; VINS VINES'!D83+'VENTES EXPORT &amp; VINS VINES'!E83+'VENTES EXPORT &amp; VINS VINES'!F83+'VENTES EXPORT &amp; VINS VINES'!G83</f>
        <v>0</v>
      </c>
      <c r="I93" s="66">
        <f t="shared" si="1"/>
        <v>0</v>
      </c>
      <c r="J93" s="97">
        <v>0</v>
      </c>
    </row>
    <row r="94" spans="1:10" x14ac:dyDescent="0.2">
      <c r="A94" s="47"/>
      <c r="B94" s="48"/>
      <c r="C94" s="49"/>
      <c r="D94" s="100"/>
      <c r="E94" s="64"/>
      <c r="F94" s="65"/>
      <c r="G94" s="60">
        <f>'MOUVEMENTS ENTREE'!D85+'MOUVEMENTS ENTREE'!E85+'MOUVEMENTS ENTREE'!F85+'MOUVEMENTS ENTREE'!G85+'MOUVEMENTS ENTREE'!H85+'MOUVEMENTS ENTREE'!I85</f>
        <v>0</v>
      </c>
      <c r="H94" s="66">
        <f>'MVMTS SORTIES &amp; FABRICATIONS'!D85+'MVMTS SORTIES &amp; FABRICATIONS'!E85+'MVMTS SORTIES &amp; FABRICATIONS'!F85+'MVMTS SORTIES &amp; FABRICATIONS'!G85+'MVMTS SORTIES &amp; FABRICATIONS'!H85+'MVMTS SORTIES &amp; FABRICATIONS'!I85+'MVMTS SORTIES &amp; FABRICATIONS'!J85+'VENTES FRANCE'!D85+'VENTES FRANCE'!E85+'VENTES FRANCE'!F85+'VENTES FRANCE'!G85+'VENTES FRANCE'!H85+'VENTES EXPORT &amp; VINS VINES'!D84+'VENTES EXPORT &amp; VINS VINES'!E84+'VENTES EXPORT &amp; VINS VINES'!F84+'VENTES EXPORT &amp; VINS VINES'!G84</f>
        <v>0</v>
      </c>
      <c r="I94" s="66">
        <f t="shared" si="1"/>
        <v>0</v>
      </c>
      <c r="J94" s="97">
        <v>0</v>
      </c>
    </row>
    <row r="95" spans="1:10" x14ac:dyDescent="0.2">
      <c r="A95" s="47"/>
      <c r="B95" s="48"/>
      <c r="C95" s="49"/>
      <c r="D95" s="100"/>
      <c r="E95" s="64"/>
      <c r="F95" s="65"/>
      <c r="G95" s="60">
        <f>'MOUVEMENTS ENTREE'!D86+'MOUVEMENTS ENTREE'!E86+'MOUVEMENTS ENTREE'!F86+'MOUVEMENTS ENTREE'!G86+'MOUVEMENTS ENTREE'!H86+'MOUVEMENTS ENTREE'!I86</f>
        <v>0</v>
      </c>
      <c r="H95" s="66">
        <f>'MVMTS SORTIES &amp; FABRICATIONS'!D86+'MVMTS SORTIES &amp; FABRICATIONS'!E86+'MVMTS SORTIES &amp; FABRICATIONS'!F86+'MVMTS SORTIES &amp; FABRICATIONS'!G86+'MVMTS SORTIES &amp; FABRICATIONS'!H86+'MVMTS SORTIES &amp; FABRICATIONS'!I86+'MVMTS SORTIES &amp; FABRICATIONS'!J86+'VENTES FRANCE'!D86+'VENTES FRANCE'!E86+'VENTES FRANCE'!F86+'VENTES FRANCE'!G86+'VENTES FRANCE'!H86+'VENTES EXPORT &amp; VINS VINES'!D85+'VENTES EXPORT &amp; VINS VINES'!E85+'VENTES EXPORT &amp; VINS VINES'!F85+'VENTES EXPORT &amp; VINS VINES'!G85</f>
        <v>0</v>
      </c>
      <c r="I95" s="66">
        <f t="shared" si="1"/>
        <v>0</v>
      </c>
      <c r="J95" s="97">
        <v>0</v>
      </c>
    </row>
    <row r="96" spans="1:10" x14ac:dyDescent="0.2">
      <c r="A96" s="47"/>
      <c r="B96" s="48"/>
      <c r="C96" s="49"/>
      <c r="D96" s="100"/>
      <c r="E96" s="64"/>
      <c r="F96" s="65"/>
      <c r="G96" s="60">
        <f>'MOUVEMENTS ENTREE'!D87+'MOUVEMENTS ENTREE'!E87+'MOUVEMENTS ENTREE'!F87+'MOUVEMENTS ENTREE'!G87+'MOUVEMENTS ENTREE'!H87+'MOUVEMENTS ENTREE'!I87</f>
        <v>0</v>
      </c>
      <c r="H96" s="66">
        <f>'MVMTS SORTIES &amp; FABRICATIONS'!D87+'MVMTS SORTIES &amp; FABRICATIONS'!E87+'MVMTS SORTIES &amp; FABRICATIONS'!F87+'MVMTS SORTIES &amp; FABRICATIONS'!G87+'MVMTS SORTIES &amp; FABRICATIONS'!H87+'MVMTS SORTIES &amp; FABRICATIONS'!I87+'MVMTS SORTIES &amp; FABRICATIONS'!J87+'VENTES FRANCE'!D87+'VENTES FRANCE'!E87+'VENTES FRANCE'!F87+'VENTES FRANCE'!G87+'VENTES FRANCE'!H87+'VENTES EXPORT &amp; VINS VINES'!D86+'VENTES EXPORT &amp; VINS VINES'!E86+'VENTES EXPORT &amp; VINS VINES'!F86+'VENTES EXPORT &amp; VINS VINES'!G86</f>
        <v>0</v>
      </c>
      <c r="I96" s="66">
        <f t="shared" si="1"/>
        <v>0</v>
      </c>
      <c r="J96" s="97">
        <v>0</v>
      </c>
    </row>
    <row r="97" spans="1:10" x14ac:dyDescent="0.2">
      <c r="A97" s="47"/>
      <c r="B97" s="48"/>
      <c r="C97" s="49"/>
      <c r="D97" s="100"/>
      <c r="E97" s="64"/>
      <c r="F97" s="65"/>
      <c r="G97" s="60">
        <f>'MOUVEMENTS ENTREE'!D88+'MOUVEMENTS ENTREE'!E88+'MOUVEMENTS ENTREE'!F88+'MOUVEMENTS ENTREE'!G88+'MOUVEMENTS ENTREE'!H88+'MOUVEMENTS ENTREE'!I88</f>
        <v>0</v>
      </c>
      <c r="H97" s="66">
        <f>'MVMTS SORTIES &amp; FABRICATIONS'!D88+'MVMTS SORTIES &amp; FABRICATIONS'!E88+'MVMTS SORTIES &amp; FABRICATIONS'!F88+'MVMTS SORTIES &amp; FABRICATIONS'!G88+'MVMTS SORTIES &amp; FABRICATIONS'!H88+'MVMTS SORTIES &amp; FABRICATIONS'!I88+'MVMTS SORTIES &amp; FABRICATIONS'!J88+'VENTES FRANCE'!D88+'VENTES FRANCE'!E88+'VENTES FRANCE'!F88+'VENTES FRANCE'!G88+'VENTES FRANCE'!H88+'VENTES EXPORT &amp; VINS VINES'!D87+'VENTES EXPORT &amp; VINS VINES'!E87+'VENTES EXPORT &amp; VINS VINES'!F87+'VENTES EXPORT &amp; VINS VINES'!G87</f>
        <v>0</v>
      </c>
      <c r="I97" s="66">
        <f t="shared" si="1"/>
        <v>0</v>
      </c>
      <c r="J97" s="97">
        <v>0</v>
      </c>
    </row>
    <row r="98" spans="1:10" x14ac:dyDescent="0.2">
      <c r="A98" s="47"/>
      <c r="B98" s="48"/>
      <c r="C98" s="49"/>
      <c r="D98" s="100"/>
      <c r="E98" s="64"/>
      <c r="F98" s="65"/>
      <c r="G98" s="60">
        <f>'MOUVEMENTS ENTREE'!D89+'MOUVEMENTS ENTREE'!E89+'MOUVEMENTS ENTREE'!F89+'MOUVEMENTS ENTREE'!G89+'MOUVEMENTS ENTREE'!H89+'MOUVEMENTS ENTREE'!I89</f>
        <v>0</v>
      </c>
      <c r="H98" s="66">
        <f>'MVMTS SORTIES &amp; FABRICATIONS'!D89+'MVMTS SORTIES &amp; FABRICATIONS'!E89+'MVMTS SORTIES &amp; FABRICATIONS'!F89+'MVMTS SORTIES &amp; FABRICATIONS'!G89+'MVMTS SORTIES &amp; FABRICATIONS'!H89+'MVMTS SORTIES &amp; FABRICATIONS'!I89+'MVMTS SORTIES &amp; FABRICATIONS'!J89+'VENTES FRANCE'!D89+'VENTES FRANCE'!E89+'VENTES FRANCE'!F89+'VENTES FRANCE'!G89+'VENTES FRANCE'!H89+'VENTES EXPORT &amp; VINS VINES'!D88+'VENTES EXPORT &amp; VINS VINES'!E88+'VENTES EXPORT &amp; VINS VINES'!F88+'VENTES EXPORT &amp; VINS VINES'!G88</f>
        <v>0</v>
      </c>
      <c r="I98" s="66">
        <f t="shared" si="1"/>
        <v>0</v>
      </c>
      <c r="J98" s="97">
        <v>0</v>
      </c>
    </row>
    <row r="99" spans="1:10" x14ac:dyDescent="0.2">
      <c r="A99" s="47"/>
      <c r="B99" s="48"/>
      <c r="C99" s="49"/>
      <c r="D99" s="100"/>
      <c r="E99" s="64"/>
      <c r="F99" s="65"/>
      <c r="G99" s="60">
        <f>'MOUVEMENTS ENTREE'!D90+'MOUVEMENTS ENTREE'!E90+'MOUVEMENTS ENTREE'!F90+'MOUVEMENTS ENTREE'!G90+'MOUVEMENTS ENTREE'!H90+'MOUVEMENTS ENTREE'!I90</f>
        <v>0</v>
      </c>
      <c r="H99" s="66">
        <f>'MVMTS SORTIES &amp; FABRICATIONS'!D90+'MVMTS SORTIES &amp; FABRICATIONS'!E90+'MVMTS SORTIES &amp; FABRICATIONS'!F90+'MVMTS SORTIES &amp; FABRICATIONS'!G90+'MVMTS SORTIES &amp; FABRICATIONS'!H90+'MVMTS SORTIES &amp; FABRICATIONS'!I90+'MVMTS SORTIES &amp; FABRICATIONS'!J90+'VENTES FRANCE'!D90+'VENTES FRANCE'!E90+'VENTES FRANCE'!F90+'VENTES FRANCE'!G90+'VENTES FRANCE'!H90+'VENTES EXPORT &amp; VINS VINES'!D89+'VENTES EXPORT &amp; VINS VINES'!E89+'VENTES EXPORT &amp; VINS VINES'!F89+'VENTES EXPORT &amp; VINS VINES'!G89</f>
        <v>0</v>
      </c>
      <c r="I99" s="66">
        <f t="shared" si="1"/>
        <v>0</v>
      </c>
      <c r="J99" s="97">
        <v>0</v>
      </c>
    </row>
    <row r="100" spans="1:10" x14ac:dyDescent="0.2">
      <c r="A100" s="47"/>
      <c r="B100" s="48"/>
      <c r="C100" s="49"/>
      <c r="D100" s="100"/>
      <c r="E100" s="64"/>
      <c r="F100" s="65"/>
      <c r="G100" s="60">
        <f>'MOUVEMENTS ENTREE'!D91+'MOUVEMENTS ENTREE'!E91+'MOUVEMENTS ENTREE'!F91+'MOUVEMENTS ENTREE'!G91+'MOUVEMENTS ENTREE'!H91+'MOUVEMENTS ENTREE'!I91</f>
        <v>0</v>
      </c>
      <c r="H100" s="66">
        <f>'MVMTS SORTIES &amp; FABRICATIONS'!D91+'MVMTS SORTIES &amp; FABRICATIONS'!E91+'MVMTS SORTIES &amp; FABRICATIONS'!F91+'MVMTS SORTIES &amp; FABRICATIONS'!G91+'MVMTS SORTIES &amp; FABRICATIONS'!H91+'MVMTS SORTIES &amp; FABRICATIONS'!I91+'MVMTS SORTIES &amp; FABRICATIONS'!J91+'VENTES FRANCE'!D91+'VENTES FRANCE'!E91+'VENTES FRANCE'!F91+'VENTES FRANCE'!G91+'VENTES FRANCE'!H91+'VENTES EXPORT &amp; VINS VINES'!D90+'VENTES EXPORT &amp; VINS VINES'!E90+'VENTES EXPORT &amp; VINS VINES'!F90+'VENTES EXPORT &amp; VINS VINES'!G90</f>
        <v>0</v>
      </c>
      <c r="I100" s="66">
        <f t="shared" si="1"/>
        <v>0</v>
      </c>
      <c r="J100" s="97">
        <v>0</v>
      </c>
    </row>
    <row r="101" spans="1:10" x14ac:dyDescent="0.2">
      <c r="A101" s="47"/>
      <c r="B101" s="48"/>
      <c r="C101" s="49"/>
      <c r="D101" s="100"/>
      <c r="E101" s="64"/>
      <c r="F101" s="65"/>
      <c r="G101" s="60">
        <f>'MOUVEMENTS ENTREE'!D92+'MOUVEMENTS ENTREE'!E92+'MOUVEMENTS ENTREE'!F92+'MOUVEMENTS ENTREE'!G92+'MOUVEMENTS ENTREE'!H92+'MOUVEMENTS ENTREE'!I92</f>
        <v>0</v>
      </c>
      <c r="H101" s="66">
        <f>'MVMTS SORTIES &amp; FABRICATIONS'!D92+'MVMTS SORTIES &amp; FABRICATIONS'!E92+'MVMTS SORTIES &amp; FABRICATIONS'!F92+'MVMTS SORTIES &amp; FABRICATIONS'!G92+'MVMTS SORTIES &amp; FABRICATIONS'!H92+'MVMTS SORTIES &amp; FABRICATIONS'!I92+'MVMTS SORTIES &amp; FABRICATIONS'!J92+'VENTES FRANCE'!D92+'VENTES FRANCE'!E92+'VENTES FRANCE'!F92+'VENTES FRANCE'!G92+'VENTES FRANCE'!H92+'VENTES EXPORT &amp; VINS VINES'!D91+'VENTES EXPORT &amp; VINS VINES'!E91+'VENTES EXPORT &amp; VINS VINES'!F91+'VENTES EXPORT &amp; VINS VINES'!G91</f>
        <v>0</v>
      </c>
      <c r="I101" s="66">
        <f t="shared" si="1"/>
        <v>0</v>
      </c>
      <c r="J101" s="97">
        <v>0</v>
      </c>
    </row>
    <row r="102" spans="1:10" x14ac:dyDescent="0.2">
      <c r="A102" s="47"/>
      <c r="B102" s="48"/>
      <c r="C102" s="49"/>
      <c r="D102" s="100"/>
      <c r="E102" s="64"/>
      <c r="F102" s="65"/>
      <c r="G102" s="60">
        <f>'MOUVEMENTS ENTREE'!D93+'MOUVEMENTS ENTREE'!E93+'MOUVEMENTS ENTREE'!F93+'MOUVEMENTS ENTREE'!G93+'MOUVEMENTS ENTREE'!H93+'MOUVEMENTS ENTREE'!I93</f>
        <v>0</v>
      </c>
      <c r="H102" s="66">
        <f>'MVMTS SORTIES &amp; FABRICATIONS'!D93+'MVMTS SORTIES &amp; FABRICATIONS'!E93+'MVMTS SORTIES &amp; FABRICATIONS'!F93+'MVMTS SORTIES &amp; FABRICATIONS'!G93+'MVMTS SORTIES &amp; FABRICATIONS'!H93+'MVMTS SORTIES &amp; FABRICATIONS'!I93+'MVMTS SORTIES &amp; FABRICATIONS'!J93+'VENTES FRANCE'!D93+'VENTES FRANCE'!E93+'VENTES FRANCE'!F93+'VENTES FRANCE'!G93+'VENTES FRANCE'!H93+'VENTES EXPORT &amp; VINS VINES'!D92+'VENTES EXPORT &amp; VINS VINES'!E92+'VENTES EXPORT &amp; VINS VINES'!F92+'VENTES EXPORT &amp; VINS VINES'!G92</f>
        <v>0</v>
      </c>
      <c r="I102" s="66">
        <f t="shared" si="1"/>
        <v>0</v>
      </c>
      <c r="J102" s="97">
        <v>0</v>
      </c>
    </row>
    <row r="103" spans="1:10" x14ac:dyDescent="0.2">
      <c r="A103" s="47"/>
      <c r="B103" s="48"/>
      <c r="C103" s="49"/>
      <c r="D103" s="100"/>
      <c r="E103" s="64"/>
      <c r="F103" s="65"/>
      <c r="G103" s="60">
        <f>'MOUVEMENTS ENTREE'!D94+'MOUVEMENTS ENTREE'!E94+'MOUVEMENTS ENTREE'!F94+'MOUVEMENTS ENTREE'!G94+'MOUVEMENTS ENTREE'!H94+'MOUVEMENTS ENTREE'!I94</f>
        <v>0</v>
      </c>
      <c r="H103" s="66">
        <f>'MVMTS SORTIES &amp; FABRICATIONS'!D94+'MVMTS SORTIES &amp; FABRICATIONS'!E94+'MVMTS SORTIES &amp; FABRICATIONS'!F94+'MVMTS SORTIES &amp; FABRICATIONS'!G94+'MVMTS SORTIES &amp; FABRICATIONS'!H94+'MVMTS SORTIES &amp; FABRICATIONS'!I94+'MVMTS SORTIES &amp; FABRICATIONS'!J94+'VENTES FRANCE'!D94+'VENTES FRANCE'!E94+'VENTES FRANCE'!F94+'VENTES FRANCE'!G94+'VENTES FRANCE'!H94+'VENTES EXPORT &amp; VINS VINES'!D93+'VENTES EXPORT &amp; VINS VINES'!E93+'VENTES EXPORT &amp; VINS VINES'!F93+'VENTES EXPORT &amp; VINS VINES'!G93</f>
        <v>0</v>
      </c>
      <c r="I103" s="66">
        <f t="shared" si="1"/>
        <v>0</v>
      </c>
      <c r="J103" s="97">
        <v>0</v>
      </c>
    </row>
    <row r="104" spans="1:10" x14ac:dyDescent="0.2">
      <c r="A104" s="47"/>
      <c r="B104" s="48"/>
      <c r="C104" s="49"/>
      <c r="D104" s="100"/>
      <c r="E104" s="64"/>
      <c r="F104" s="65"/>
      <c r="G104" s="60">
        <f>'MOUVEMENTS ENTREE'!D95+'MOUVEMENTS ENTREE'!E95+'MOUVEMENTS ENTREE'!F95+'MOUVEMENTS ENTREE'!G95+'MOUVEMENTS ENTREE'!H95+'MOUVEMENTS ENTREE'!I95</f>
        <v>0</v>
      </c>
      <c r="H104" s="66">
        <f>'MVMTS SORTIES &amp; FABRICATIONS'!D95+'MVMTS SORTIES &amp; FABRICATIONS'!E95+'MVMTS SORTIES &amp; FABRICATIONS'!F95+'MVMTS SORTIES &amp; FABRICATIONS'!G95+'MVMTS SORTIES &amp; FABRICATIONS'!H95+'MVMTS SORTIES &amp; FABRICATIONS'!I95+'MVMTS SORTIES &amp; FABRICATIONS'!J95+'VENTES FRANCE'!D95+'VENTES FRANCE'!E95+'VENTES FRANCE'!F95+'VENTES FRANCE'!G95+'VENTES FRANCE'!H95+'VENTES EXPORT &amp; VINS VINES'!D94+'VENTES EXPORT &amp; VINS VINES'!E94+'VENTES EXPORT &amp; VINS VINES'!F94+'VENTES EXPORT &amp; VINS VINES'!G94</f>
        <v>0</v>
      </c>
      <c r="I104" s="66">
        <f t="shared" si="1"/>
        <v>0</v>
      </c>
      <c r="J104" s="97">
        <v>0</v>
      </c>
    </row>
    <row r="105" spans="1:10" x14ac:dyDescent="0.2">
      <c r="A105" s="47"/>
      <c r="B105" s="48"/>
      <c r="C105" s="49"/>
      <c r="D105" s="100"/>
      <c r="E105" s="64"/>
      <c r="F105" s="65"/>
      <c r="G105" s="60">
        <f>'MOUVEMENTS ENTREE'!D96+'MOUVEMENTS ENTREE'!E96+'MOUVEMENTS ENTREE'!F96+'MOUVEMENTS ENTREE'!G96+'MOUVEMENTS ENTREE'!H96+'MOUVEMENTS ENTREE'!I96</f>
        <v>0</v>
      </c>
      <c r="H105" s="66">
        <f>'MVMTS SORTIES &amp; FABRICATIONS'!D96+'MVMTS SORTIES &amp; FABRICATIONS'!E96+'MVMTS SORTIES &amp; FABRICATIONS'!F96+'MVMTS SORTIES &amp; FABRICATIONS'!G96+'MVMTS SORTIES &amp; FABRICATIONS'!H96+'MVMTS SORTIES &amp; FABRICATIONS'!I96+'MVMTS SORTIES &amp; FABRICATIONS'!J96+'VENTES FRANCE'!D96+'VENTES FRANCE'!E96+'VENTES FRANCE'!F96+'VENTES FRANCE'!G96+'VENTES FRANCE'!H96+'VENTES EXPORT &amp; VINS VINES'!D95+'VENTES EXPORT &amp; VINS VINES'!E95+'VENTES EXPORT &amp; VINS VINES'!F95+'VENTES EXPORT &amp; VINS VINES'!G95</f>
        <v>0</v>
      </c>
      <c r="I105" s="66">
        <f t="shared" si="1"/>
        <v>0</v>
      </c>
      <c r="J105" s="97">
        <v>0</v>
      </c>
    </row>
    <row r="106" spans="1:10" x14ac:dyDescent="0.2">
      <c r="A106" s="47"/>
      <c r="B106" s="48"/>
      <c r="C106" s="49"/>
      <c r="D106" s="100"/>
      <c r="E106" s="64"/>
      <c r="F106" s="65"/>
      <c r="G106" s="60">
        <f>'MOUVEMENTS ENTREE'!D97+'MOUVEMENTS ENTREE'!E97+'MOUVEMENTS ENTREE'!F97+'MOUVEMENTS ENTREE'!G97+'MOUVEMENTS ENTREE'!H97+'MOUVEMENTS ENTREE'!I97</f>
        <v>0</v>
      </c>
      <c r="H106" s="66">
        <f>'MVMTS SORTIES &amp; FABRICATIONS'!D97+'MVMTS SORTIES &amp; FABRICATIONS'!E97+'MVMTS SORTIES &amp; FABRICATIONS'!F97+'MVMTS SORTIES &amp; FABRICATIONS'!G97+'MVMTS SORTIES &amp; FABRICATIONS'!H97+'MVMTS SORTIES &amp; FABRICATIONS'!I97+'MVMTS SORTIES &amp; FABRICATIONS'!J97+'VENTES FRANCE'!D97+'VENTES FRANCE'!E97+'VENTES FRANCE'!F97+'VENTES FRANCE'!G97+'VENTES FRANCE'!H97+'VENTES EXPORT &amp; VINS VINES'!D96+'VENTES EXPORT &amp; VINS VINES'!E96+'VENTES EXPORT &amp; VINS VINES'!F96+'VENTES EXPORT &amp; VINS VINES'!G96</f>
        <v>0</v>
      </c>
      <c r="I106" s="66">
        <f t="shared" si="1"/>
        <v>0</v>
      </c>
      <c r="J106" s="97">
        <v>0</v>
      </c>
    </row>
    <row r="107" spans="1:10" x14ac:dyDescent="0.2">
      <c r="A107" s="47"/>
      <c r="B107" s="48"/>
      <c r="C107" s="49"/>
      <c r="D107" s="100"/>
      <c r="E107" s="64"/>
      <c r="F107" s="65"/>
      <c r="G107" s="60">
        <f>'MOUVEMENTS ENTREE'!D98+'MOUVEMENTS ENTREE'!E98+'MOUVEMENTS ENTREE'!F98+'MOUVEMENTS ENTREE'!G98+'MOUVEMENTS ENTREE'!H98+'MOUVEMENTS ENTREE'!I98</f>
        <v>0</v>
      </c>
      <c r="H107" s="66">
        <f>'MVMTS SORTIES &amp; FABRICATIONS'!D98+'MVMTS SORTIES &amp; FABRICATIONS'!E98+'MVMTS SORTIES &amp; FABRICATIONS'!F98+'MVMTS SORTIES &amp; FABRICATIONS'!G98+'MVMTS SORTIES &amp; FABRICATIONS'!H98+'MVMTS SORTIES &amp; FABRICATIONS'!I98+'MVMTS SORTIES &amp; FABRICATIONS'!J98+'VENTES FRANCE'!D98+'VENTES FRANCE'!E98+'VENTES FRANCE'!F98+'VENTES FRANCE'!G98+'VENTES FRANCE'!H98+'VENTES EXPORT &amp; VINS VINES'!D97+'VENTES EXPORT &amp; VINS VINES'!E97+'VENTES EXPORT &amp; VINS VINES'!F97+'VENTES EXPORT &amp; VINS VINES'!G97</f>
        <v>0</v>
      </c>
      <c r="I107" s="66">
        <f t="shared" si="1"/>
        <v>0</v>
      </c>
      <c r="J107" s="97">
        <v>0</v>
      </c>
    </row>
    <row r="108" spans="1:10" x14ac:dyDescent="0.2">
      <c r="A108" s="47"/>
      <c r="B108" s="48"/>
      <c r="C108" s="49"/>
      <c r="D108" s="100"/>
      <c r="E108" s="64"/>
      <c r="F108" s="65"/>
      <c r="G108" s="60">
        <f>'MOUVEMENTS ENTREE'!D99+'MOUVEMENTS ENTREE'!E99+'MOUVEMENTS ENTREE'!F99+'MOUVEMENTS ENTREE'!G99+'MOUVEMENTS ENTREE'!H99+'MOUVEMENTS ENTREE'!I99</f>
        <v>0</v>
      </c>
      <c r="H108" s="66">
        <f>'MVMTS SORTIES &amp; FABRICATIONS'!D99+'MVMTS SORTIES &amp; FABRICATIONS'!E99+'MVMTS SORTIES &amp; FABRICATIONS'!F99+'MVMTS SORTIES &amp; FABRICATIONS'!G99+'MVMTS SORTIES &amp; FABRICATIONS'!H99+'MVMTS SORTIES &amp; FABRICATIONS'!I99+'MVMTS SORTIES &amp; FABRICATIONS'!J99+'VENTES FRANCE'!D99+'VENTES FRANCE'!E99+'VENTES FRANCE'!F99+'VENTES FRANCE'!G99+'VENTES FRANCE'!H99+'VENTES EXPORT &amp; VINS VINES'!D98+'VENTES EXPORT &amp; VINS VINES'!E98+'VENTES EXPORT &amp; VINS VINES'!F98+'VENTES EXPORT &amp; VINS VINES'!G98</f>
        <v>0</v>
      </c>
      <c r="I108" s="66">
        <f t="shared" si="1"/>
        <v>0</v>
      </c>
      <c r="J108" s="97">
        <v>0</v>
      </c>
    </row>
    <row r="109" spans="1:10" x14ac:dyDescent="0.2">
      <c r="A109" s="47"/>
      <c r="B109" s="48"/>
      <c r="C109" s="49"/>
      <c r="D109" s="100"/>
      <c r="E109" s="64"/>
      <c r="F109" s="65"/>
      <c r="G109" s="60">
        <f>'MOUVEMENTS ENTREE'!D100+'MOUVEMENTS ENTREE'!E100+'MOUVEMENTS ENTREE'!F100+'MOUVEMENTS ENTREE'!G100+'MOUVEMENTS ENTREE'!H100+'MOUVEMENTS ENTREE'!I100</f>
        <v>0</v>
      </c>
      <c r="H109" s="66">
        <f>'MVMTS SORTIES &amp; FABRICATIONS'!D100+'MVMTS SORTIES &amp; FABRICATIONS'!E100+'MVMTS SORTIES &amp; FABRICATIONS'!F100+'MVMTS SORTIES &amp; FABRICATIONS'!G100+'MVMTS SORTIES &amp; FABRICATIONS'!H100+'MVMTS SORTIES &amp; FABRICATIONS'!I100+'MVMTS SORTIES &amp; FABRICATIONS'!J100+'VENTES FRANCE'!D100+'VENTES FRANCE'!E100+'VENTES FRANCE'!F100+'VENTES FRANCE'!G100+'VENTES FRANCE'!H100+'VENTES EXPORT &amp; VINS VINES'!D99+'VENTES EXPORT &amp; VINS VINES'!E99+'VENTES EXPORT &amp; VINS VINES'!F99+'VENTES EXPORT &amp; VINS VINES'!G99</f>
        <v>0</v>
      </c>
      <c r="I109" s="66">
        <f t="shared" si="1"/>
        <v>0</v>
      </c>
      <c r="J109" s="97">
        <v>0</v>
      </c>
    </row>
    <row r="110" spans="1:10" x14ac:dyDescent="0.2">
      <c r="A110" s="47"/>
      <c r="B110" s="48"/>
      <c r="C110" s="49"/>
      <c r="D110" s="100"/>
      <c r="E110" s="64"/>
      <c r="F110" s="65"/>
      <c r="G110" s="60">
        <f>'MOUVEMENTS ENTREE'!D101+'MOUVEMENTS ENTREE'!E101+'MOUVEMENTS ENTREE'!F101+'MOUVEMENTS ENTREE'!G101+'MOUVEMENTS ENTREE'!H101+'MOUVEMENTS ENTREE'!I101</f>
        <v>0</v>
      </c>
      <c r="H110" s="66">
        <f>'MVMTS SORTIES &amp; FABRICATIONS'!D101+'MVMTS SORTIES &amp; FABRICATIONS'!E101+'MVMTS SORTIES &amp; FABRICATIONS'!F101+'MVMTS SORTIES &amp; FABRICATIONS'!G101+'MVMTS SORTIES &amp; FABRICATIONS'!H101+'MVMTS SORTIES &amp; FABRICATIONS'!I101+'MVMTS SORTIES &amp; FABRICATIONS'!J101+'VENTES FRANCE'!D101+'VENTES FRANCE'!E101+'VENTES FRANCE'!F101+'VENTES FRANCE'!G101+'VENTES FRANCE'!H101+'VENTES EXPORT &amp; VINS VINES'!D100+'VENTES EXPORT &amp; VINS VINES'!E100+'VENTES EXPORT &amp; VINS VINES'!F100+'VENTES EXPORT &amp; VINS VINES'!G100</f>
        <v>0</v>
      </c>
      <c r="I110" s="66">
        <f t="shared" si="1"/>
        <v>0</v>
      </c>
      <c r="J110" s="97">
        <v>0</v>
      </c>
    </row>
    <row r="111" spans="1:10" x14ac:dyDescent="0.2">
      <c r="A111" s="47"/>
      <c r="B111" s="48"/>
      <c r="C111" s="49"/>
      <c r="D111" s="100"/>
      <c r="E111" s="64"/>
      <c r="F111" s="65"/>
      <c r="G111" s="60">
        <f>'MOUVEMENTS ENTREE'!D102+'MOUVEMENTS ENTREE'!E102+'MOUVEMENTS ENTREE'!F102+'MOUVEMENTS ENTREE'!G102+'MOUVEMENTS ENTREE'!H102+'MOUVEMENTS ENTREE'!I102</f>
        <v>0</v>
      </c>
      <c r="H111" s="66">
        <f>'MVMTS SORTIES &amp; FABRICATIONS'!D102+'MVMTS SORTIES &amp; FABRICATIONS'!E102+'MVMTS SORTIES &amp; FABRICATIONS'!F102+'MVMTS SORTIES &amp; FABRICATIONS'!G102+'MVMTS SORTIES &amp; FABRICATIONS'!H102+'MVMTS SORTIES &amp; FABRICATIONS'!I102+'MVMTS SORTIES &amp; FABRICATIONS'!J102+'VENTES FRANCE'!D102+'VENTES FRANCE'!E102+'VENTES FRANCE'!F102+'VENTES FRANCE'!G102+'VENTES FRANCE'!H102+'VENTES EXPORT &amp; VINS VINES'!D101+'VENTES EXPORT &amp; VINS VINES'!E101+'VENTES EXPORT &amp; VINS VINES'!F101+'VENTES EXPORT &amp; VINS VINES'!G101</f>
        <v>0</v>
      </c>
      <c r="I111" s="66">
        <f t="shared" si="1"/>
        <v>0</v>
      </c>
      <c r="J111" s="97">
        <v>0</v>
      </c>
    </row>
    <row r="112" spans="1:10" x14ac:dyDescent="0.2">
      <c r="A112" s="47"/>
      <c r="B112" s="48"/>
      <c r="C112" s="49"/>
      <c r="D112" s="100"/>
      <c r="E112" s="64"/>
      <c r="F112" s="65"/>
      <c r="G112" s="60">
        <f>'MOUVEMENTS ENTREE'!D103+'MOUVEMENTS ENTREE'!E103+'MOUVEMENTS ENTREE'!F103+'MOUVEMENTS ENTREE'!G103+'MOUVEMENTS ENTREE'!H103+'MOUVEMENTS ENTREE'!I103</f>
        <v>0</v>
      </c>
      <c r="H112" s="66">
        <f>'MVMTS SORTIES &amp; FABRICATIONS'!D103+'MVMTS SORTIES &amp; FABRICATIONS'!E103+'MVMTS SORTIES &amp; FABRICATIONS'!F103+'MVMTS SORTIES &amp; FABRICATIONS'!G103+'MVMTS SORTIES &amp; FABRICATIONS'!H103+'MVMTS SORTIES &amp; FABRICATIONS'!I103+'MVMTS SORTIES &amp; FABRICATIONS'!J103+'VENTES FRANCE'!D103+'VENTES FRANCE'!E103+'VENTES FRANCE'!F103+'VENTES FRANCE'!G103+'VENTES FRANCE'!H103+'VENTES EXPORT &amp; VINS VINES'!D102+'VENTES EXPORT &amp; VINS VINES'!E102+'VENTES EXPORT &amp; VINS VINES'!F102+'VENTES EXPORT &amp; VINS VINES'!G102</f>
        <v>0</v>
      </c>
      <c r="I112" s="66">
        <f t="shared" si="1"/>
        <v>0</v>
      </c>
      <c r="J112" s="97">
        <v>0</v>
      </c>
    </row>
    <row r="113" spans="1:10" x14ac:dyDescent="0.2">
      <c r="A113" s="47"/>
      <c r="B113" s="48"/>
      <c r="C113" s="49"/>
      <c r="D113" s="100"/>
      <c r="E113" s="64"/>
      <c r="F113" s="65"/>
      <c r="G113" s="60">
        <f>'MOUVEMENTS ENTREE'!D104+'MOUVEMENTS ENTREE'!E104+'MOUVEMENTS ENTREE'!F104+'MOUVEMENTS ENTREE'!G104+'MOUVEMENTS ENTREE'!H104+'MOUVEMENTS ENTREE'!I104</f>
        <v>0</v>
      </c>
      <c r="H113" s="66">
        <f>'MVMTS SORTIES &amp; FABRICATIONS'!D104+'MVMTS SORTIES &amp; FABRICATIONS'!E104+'MVMTS SORTIES &amp; FABRICATIONS'!F104+'MVMTS SORTIES &amp; FABRICATIONS'!G104+'MVMTS SORTIES &amp; FABRICATIONS'!H104+'MVMTS SORTIES &amp; FABRICATIONS'!I104+'MVMTS SORTIES &amp; FABRICATIONS'!J104+'VENTES FRANCE'!D104+'VENTES FRANCE'!E104+'VENTES FRANCE'!F104+'VENTES FRANCE'!G104+'VENTES FRANCE'!H104+'VENTES EXPORT &amp; VINS VINES'!D103+'VENTES EXPORT &amp; VINS VINES'!E103+'VENTES EXPORT &amp; VINS VINES'!F103+'VENTES EXPORT &amp; VINS VINES'!G103</f>
        <v>0</v>
      </c>
      <c r="I113" s="66">
        <f t="shared" si="1"/>
        <v>0</v>
      </c>
      <c r="J113" s="97">
        <v>0</v>
      </c>
    </row>
    <row r="114" spans="1:10" x14ac:dyDescent="0.2">
      <c r="A114" s="47"/>
      <c r="B114" s="48"/>
      <c r="C114" s="49"/>
      <c r="D114" s="100"/>
      <c r="E114" s="64"/>
      <c r="F114" s="65"/>
      <c r="G114" s="60">
        <f>'MOUVEMENTS ENTREE'!D105+'MOUVEMENTS ENTREE'!E105+'MOUVEMENTS ENTREE'!F105+'MOUVEMENTS ENTREE'!G105+'MOUVEMENTS ENTREE'!H105+'MOUVEMENTS ENTREE'!I105</f>
        <v>0</v>
      </c>
      <c r="H114" s="66">
        <f>'MVMTS SORTIES &amp; FABRICATIONS'!D105+'MVMTS SORTIES &amp; FABRICATIONS'!E105+'MVMTS SORTIES &amp; FABRICATIONS'!F105+'MVMTS SORTIES &amp; FABRICATIONS'!G105+'MVMTS SORTIES &amp; FABRICATIONS'!H105+'MVMTS SORTIES &amp; FABRICATIONS'!I105+'MVMTS SORTIES &amp; FABRICATIONS'!J105+'VENTES FRANCE'!D105+'VENTES FRANCE'!E105+'VENTES FRANCE'!F105+'VENTES FRANCE'!G105+'VENTES FRANCE'!H105+'VENTES EXPORT &amp; VINS VINES'!D104+'VENTES EXPORT &amp; VINS VINES'!E104+'VENTES EXPORT &amp; VINS VINES'!F104+'VENTES EXPORT &amp; VINS VINES'!G104</f>
        <v>0</v>
      </c>
      <c r="I114" s="66">
        <f t="shared" si="1"/>
        <v>0</v>
      </c>
      <c r="J114" s="97">
        <v>0</v>
      </c>
    </row>
    <row r="115" spans="1:10" x14ac:dyDescent="0.2">
      <c r="A115" s="47"/>
      <c r="B115" s="48"/>
      <c r="C115" s="49"/>
      <c r="D115" s="100"/>
      <c r="E115" s="64"/>
      <c r="F115" s="65"/>
      <c r="G115" s="60">
        <f>'MOUVEMENTS ENTREE'!D106+'MOUVEMENTS ENTREE'!E106+'MOUVEMENTS ENTREE'!F106+'MOUVEMENTS ENTREE'!G106+'MOUVEMENTS ENTREE'!H106+'MOUVEMENTS ENTREE'!I106</f>
        <v>0</v>
      </c>
      <c r="H115" s="66">
        <f>'MVMTS SORTIES &amp; FABRICATIONS'!D106+'MVMTS SORTIES &amp; FABRICATIONS'!E106+'MVMTS SORTIES &amp; FABRICATIONS'!F106+'MVMTS SORTIES &amp; FABRICATIONS'!G106+'MVMTS SORTIES &amp; FABRICATIONS'!H106+'MVMTS SORTIES &amp; FABRICATIONS'!I106+'MVMTS SORTIES &amp; FABRICATIONS'!J106+'VENTES FRANCE'!D106+'VENTES FRANCE'!E106+'VENTES FRANCE'!F106+'VENTES FRANCE'!G106+'VENTES FRANCE'!H106+'VENTES EXPORT &amp; VINS VINES'!D105+'VENTES EXPORT &amp; VINS VINES'!E105+'VENTES EXPORT &amp; VINS VINES'!F105+'VENTES EXPORT &amp; VINS VINES'!G105</f>
        <v>0</v>
      </c>
      <c r="I115" s="66">
        <f t="shared" si="1"/>
        <v>0</v>
      </c>
      <c r="J115" s="97">
        <v>0</v>
      </c>
    </row>
    <row r="116" spans="1:10" x14ac:dyDescent="0.2">
      <c r="A116" s="47"/>
      <c r="B116" s="48"/>
      <c r="C116" s="49"/>
      <c r="D116" s="100"/>
      <c r="E116" s="64"/>
      <c r="F116" s="65"/>
      <c r="G116" s="60">
        <f>'MOUVEMENTS ENTREE'!D107+'MOUVEMENTS ENTREE'!E107+'MOUVEMENTS ENTREE'!F107+'MOUVEMENTS ENTREE'!G107+'MOUVEMENTS ENTREE'!H107+'MOUVEMENTS ENTREE'!I107</f>
        <v>0</v>
      </c>
      <c r="H116" s="66">
        <f>'MVMTS SORTIES &amp; FABRICATIONS'!D107+'MVMTS SORTIES &amp; FABRICATIONS'!E107+'MVMTS SORTIES &amp; FABRICATIONS'!F107+'MVMTS SORTIES &amp; FABRICATIONS'!G107+'MVMTS SORTIES &amp; FABRICATIONS'!H107+'MVMTS SORTIES &amp; FABRICATIONS'!I107+'MVMTS SORTIES &amp; FABRICATIONS'!J107+'VENTES FRANCE'!D107+'VENTES FRANCE'!E107+'VENTES FRANCE'!F107+'VENTES FRANCE'!G107+'VENTES FRANCE'!H107+'VENTES EXPORT &amp; VINS VINES'!D106+'VENTES EXPORT &amp; VINS VINES'!E106+'VENTES EXPORT &amp; VINS VINES'!F106+'VENTES EXPORT &amp; VINS VINES'!G106</f>
        <v>0</v>
      </c>
      <c r="I116" s="66">
        <f t="shared" si="1"/>
        <v>0</v>
      </c>
      <c r="J116" s="97">
        <v>0</v>
      </c>
    </row>
    <row r="117" spans="1:10" x14ac:dyDescent="0.2">
      <c r="A117" s="47"/>
      <c r="B117" s="48"/>
      <c r="C117" s="49"/>
      <c r="D117" s="100"/>
      <c r="E117" s="64"/>
      <c r="F117" s="65"/>
      <c r="G117" s="60">
        <f>'MOUVEMENTS ENTREE'!D108+'MOUVEMENTS ENTREE'!E108+'MOUVEMENTS ENTREE'!F108+'MOUVEMENTS ENTREE'!G108+'MOUVEMENTS ENTREE'!H108+'MOUVEMENTS ENTREE'!I108</f>
        <v>0</v>
      </c>
      <c r="H117" s="66">
        <f>'MVMTS SORTIES &amp; FABRICATIONS'!D108+'MVMTS SORTIES &amp; FABRICATIONS'!E108+'MVMTS SORTIES &amp; FABRICATIONS'!F108+'MVMTS SORTIES &amp; FABRICATIONS'!G108+'MVMTS SORTIES &amp; FABRICATIONS'!H108+'MVMTS SORTIES &amp; FABRICATIONS'!I108+'MVMTS SORTIES &amp; FABRICATIONS'!J108+'VENTES FRANCE'!D108+'VENTES FRANCE'!E108+'VENTES FRANCE'!F108+'VENTES FRANCE'!G108+'VENTES FRANCE'!H108+'VENTES EXPORT &amp; VINS VINES'!D107+'VENTES EXPORT &amp; VINS VINES'!E107+'VENTES EXPORT &amp; VINS VINES'!F107+'VENTES EXPORT &amp; VINS VINES'!G107</f>
        <v>0</v>
      </c>
      <c r="I117" s="66">
        <f t="shared" si="1"/>
        <v>0</v>
      </c>
      <c r="J117" s="97">
        <v>0</v>
      </c>
    </row>
    <row r="118" spans="1:10" x14ac:dyDescent="0.2">
      <c r="A118" s="47"/>
      <c r="B118" s="48"/>
      <c r="C118" s="49"/>
      <c r="D118" s="100"/>
      <c r="E118" s="64"/>
      <c r="F118" s="65"/>
      <c r="G118" s="60">
        <f>'MOUVEMENTS ENTREE'!D109+'MOUVEMENTS ENTREE'!E109+'MOUVEMENTS ENTREE'!F109+'MOUVEMENTS ENTREE'!G109+'MOUVEMENTS ENTREE'!H109+'MOUVEMENTS ENTREE'!I109</f>
        <v>0</v>
      </c>
      <c r="H118" s="66">
        <f>'MVMTS SORTIES &amp; FABRICATIONS'!D109+'MVMTS SORTIES &amp; FABRICATIONS'!E109+'MVMTS SORTIES &amp; FABRICATIONS'!F109+'MVMTS SORTIES &amp; FABRICATIONS'!G109+'MVMTS SORTIES &amp; FABRICATIONS'!H109+'MVMTS SORTIES &amp; FABRICATIONS'!I109+'MVMTS SORTIES &amp; FABRICATIONS'!J109+'VENTES FRANCE'!D109+'VENTES FRANCE'!E109+'VENTES FRANCE'!F109+'VENTES FRANCE'!G109+'VENTES FRANCE'!H109+'VENTES EXPORT &amp; VINS VINES'!D108+'VENTES EXPORT &amp; VINS VINES'!E108+'VENTES EXPORT &amp; VINS VINES'!F108+'VENTES EXPORT &amp; VINS VINES'!G108</f>
        <v>0</v>
      </c>
      <c r="I118" s="66">
        <f t="shared" si="1"/>
        <v>0</v>
      </c>
      <c r="J118" s="97">
        <v>0</v>
      </c>
    </row>
    <row r="119" spans="1:10" x14ac:dyDescent="0.2">
      <c r="A119" s="47"/>
      <c r="B119" s="48"/>
      <c r="C119" s="49"/>
      <c r="D119" s="100"/>
      <c r="E119" s="64"/>
      <c r="F119" s="65"/>
      <c r="G119" s="60">
        <f>'MOUVEMENTS ENTREE'!D110+'MOUVEMENTS ENTREE'!E110+'MOUVEMENTS ENTREE'!F110+'MOUVEMENTS ENTREE'!G110+'MOUVEMENTS ENTREE'!H110+'MOUVEMENTS ENTREE'!I110</f>
        <v>0</v>
      </c>
      <c r="H119" s="66">
        <f>'MVMTS SORTIES &amp; FABRICATIONS'!D110+'MVMTS SORTIES &amp; FABRICATIONS'!E110+'MVMTS SORTIES &amp; FABRICATIONS'!F110+'MVMTS SORTIES &amp; FABRICATIONS'!G110+'MVMTS SORTIES &amp; FABRICATIONS'!H110+'MVMTS SORTIES &amp; FABRICATIONS'!I110+'MVMTS SORTIES &amp; FABRICATIONS'!J110+'VENTES FRANCE'!D110+'VENTES FRANCE'!E110+'VENTES FRANCE'!F110+'VENTES FRANCE'!G110+'VENTES FRANCE'!H110+'VENTES EXPORT &amp; VINS VINES'!D109+'VENTES EXPORT &amp; VINS VINES'!E109+'VENTES EXPORT &amp; VINS VINES'!F109+'VENTES EXPORT &amp; VINS VINES'!G109</f>
        <v>0</v>
      </c>
      <c r="I119" s="66">
        <f t="shared" si="1"/>
        <v>0</v>
      </c>
      <c r="J119" s="97">
        <v>0</v>
      </c>
    </row>
    <row r="120" spans="1:10" x14ac:dyDescent="0.2">
      <c r="A120" s="47"/>
      <c r="B120" s="48"/>
      <c r="C120" s="49"/>
      <c r="D120" s="100"/>
      <c r="E120" s="64"/>
      <c r="F120" s="65"/>
      <c r="G120" s="60">
        <f>'MOUVEMENTS ENTREE'!D111+'MOUVEMENTS ENTREE'!E111+'MOUVEMENTS ENTREE'!F111+'MOUVEMENTS ENTREE'!G111+'MOUVEMENTS ENTREE'!H111+'MOUVEMENTS ENTREE'!I111</f>
        <v>0</v>
      </c>
      <c r="H120" s="66">
        <f>'MVMTS SORTIES &amp; FABRICATIONS'!D111+'MVMTS SORTIES &amp; FABRICATIONS'!E111+'MVMTS SORTIES &amp; FABRICATIONS'!F111+'MVMTS SORTIES &amp; FABRICATIONS'!G111+'MVMTS SORTIES &amp; FABRICATIONS'!H111+'MVMTS SORTIES &amp; FABRICATIONS'!I111+'MVMTS SORTIES &amp; FABRICATIONS'!J111+'VENTES FRANCE'!D111+'VENTES FRANCE'!E111+'VENTES FRANCE'!F111+'VENTES FRANCE'!G111+'VENTES FRANCE'!H111+'VENTES EXPORT &amp; VINS VINES'!D110+'VENTES EXPORT &amp; VINS VINES'!E110+'VENTES EXPORT &amp; VINS VINES'!F110+'VENTES EXPORT &amp; VINS VINES'!G110</f>
        <v>0</v>
      </c>
      <c r="I120" s="66">
        <f t="shared" si="1"/>
        <v>0</v>
      </c>
      <c r="J120" s="97">
        <v>0</v>
      </c>
    </row>
    <row r="121" spans="1:10" x14ac:dyDescent="0.2">
      <c r="A121" s="47"/>
      <c r="B121" s="48"/>
      <c r="C121" s="49"/>
      <c r="D121" s="100"/>
      <c r="E121" s="64"/>
      <c r="F121" s="65"/>
      <c r="G121" s="60">
        <f>'MOUVEMENTS ENTREE'!D112+'MOUVEMENTS ENTREE'!E112+'MOUVEMENTS ENTREE'!F112+'MOUVEMENTS ENTREE'!G112+'MOUVEMENTS ENTREE'!H112+'MOUVEMENTS ENTREE'!I112</f>
        <v>0</v>
      </c>
      <c r="H121" s="66">
        <f>'MVMTS SORTIES &amp; FABRICATIONS'!D112+'MVMTS SORTIES &amp; FABRICATIONS'!E112+'MVMTS SORTIES &amp; FABRICATIONS'!F112+'MVMTS SORTIES &amp; FABRICATIONS'!G112+'MVMTS SORTIES &amp; FABRICATIONS'!H112+'MVMTS SORTIES &amp; FABRICATIONS'!I112+'MVMTS SORTIES &amp; FABRICATIONS'!J112+'VENTES FRANCE'!D112+'VENTES FRANCE'!E112+'VENTES FRANCE'!F112+'VENTES FRANCE'!G112+'VENTES FRANCE'!H112+'VENTES EXPORT &amp; VINS VINES'!D111+'VENTES EXPORT &amp; VINS VINES'!E111+'VENTES EXPORT &amp; VINS VINES'!F111+'VENTES EXPORT &amp; VINS VINES'!G111</f>
        <v>0</v>
      </c>
      <c r="I121" s="66">
        <f t="shared" si="1"/>
        <v>0</v>
      </c>
      <c r="J121" s="97">
        <v>0</v>
      </c>
    </row>
    <row r="122" spans="1:10" x14ac:dyDescent="0.2">
      <c r="A122" s="47"/>
      <c r="B122" s="48"/>
      <c r="C122" s="49"/>
      <c r="D122" s="100"/>
      <c r="E122" s="64"/>
      <c r="F122" s="65"/>
      <c r="G122" s="60">
        <f>'MOUVEMENTS ENTREE'!D113+'MOUVEMENTS ENTREE'!E113+'MOUVEMENTS ENTREE'!F113+'MOUVEMENTS ENTREE'!G113+'MOUVEMENTS ENTREE'!H113+'MOUVEMENTS ENTREE'!I113</f>
        <v>0</v>
      </c>
      <c r="H122" s="66">
        <f>'MVMTS SORTIES &amp; FABRICATIONS'!D113+'MVMTS SORTIES &amp; FABRICATIONS'!E113+'MVMTS SORTIES &amp; FABRICATIONS'!F113+'MVMTS SORTIES &amp; FABRICATIONS'!G113+'MVMTS SORTIES &amp; FABRICATIONS'!H113+'MVMTS SORTIES &amp; FABRICATIONS'!I113+'MVMTS SORTIES &amp; FABRICATIONS'!J113+'VENTES FRANCE'!D113+'VENTES FRANCE'!E113+'VENTES FRANCE'!F113+'VENTES FRANCE'!G113+'VENTES FRANCE'!H113+'VENTES EXPORT &amp; VINS VINES'!D112+'VENTES EXPORT &amp; VINS VINES'!E112+'VENTES EXPORT &amp; VINS VINES'!F112+'VENTES EXPORT &amp; VINS VINES'!G112</f>
        <v>0</v>
      </c>
      <c r="I122" s="66">
        <f t="shared" si="1"/>
        <v>0</v>
      </c>
      <c r="J122" s="97">
        <v>0</v>
      </c>
    </row>
    <row r="123" spans="1:10" x14ac:dyDescent="0.2">
      <c r="A123" s="47"/>
      <c r="B123" s="48"/>
      <c r="C123" s="49"/>
      <c r="D123" s="100"/>
      <c r="E123" s="64"/>
      <c r="F123" s="65"/>
      <c r="G123" s="60">
        <f>'MOUVEMENTS ENTREE'!D114+'MOUVEMENTS ENTREE'!E114+'MOUVEMENTS ENTREE'!F114+'MOUVEMENTS ENTREE'!G114+'MOUVEMENTS ENTREE'!H114+'MOUVEMENTS ENTREE'!I114</f>
        <v>0</v>
      </c>
      <c r="H123" s="66">
        <f>'MVMTS SORTIES &amp; FABRICATIONS'!D114+'MVMTS SORTIES &amp; FABRICATIONS'!E114+'MVMTS SORTIES &amp; FABRICATIONS'!F114+'MVMTS SORTIES &amp; FABRICATIONS'!G114+'MVMTS SORTIES &amp; FABRICATIONS'!H114+'MVMTS SORTIES &amp; FABRICATIONS'!I114+'MVMTS SORTIES &amp; FABRICATIONS'!J114+'VENTES FRANCE'!D114+'VENTES FRANCE'!E114+'VENTES FRANCE'!F114+'VENTES FRANCE'!G114+'VENTES FRANCE'!H114+'VENTES EXPORT &amp; VINS VINES'!D113+'VENTES EXPORT &amp; VINS VINES'!E113+'VENTES EXPORT &amp; VINS VINES'!F113+'VENTES EXPORT &amp; VINS VINES'!G113</f>
        <v>0</v>
      </c>
      <c r="I123" s="66">
        <f t="shared" si="1"/>
        <v>0</v>
      </c>
      <c r="J123" s="97">
        <v>0</v>
      </c>
    </row>
    <row r="124" spans="1:10" x14ac:dyDescent="0.2">
      <c r="A124" s="47"/>
      <c r="B124" s="48"/>
      <c r="C124" s="49"/>
      <c r="D124" s="100"/>
      <c r="E124" s="64"/>
      <c r="F124" s="65"/>
      <c r="G124" s="60">
        <f>'MOUVEMENTS ENTREE'!D115+'MOUVEMENTS ENTREE'!E115+'MOUVEMENTS ENTREE'!F115+'MOUVEMENTS ENTREE'!G115+'MOUVEMENTS ENTREE'!H115+'MOUVEMENTS ENTREE'!I115</f>
        <v>0</v>
      </c>
      <c r="H124" s="66">
        <f>'MVMTS SORTIES &amp; FABRICATIONS'!D115+'MVMTS SORTIES &amp; FABRICATIONS'!E115+'MVMTS SORTIES &amp; FABRICATIONS'!F115+'MVMTS SORTIES &amp; FABRICATIONS'!G115+'MVMTS SORTIES &amp; FABRICATIONS'!H115+'MVMTS SORTIES &amp; FABRICATIONS'!I115+'MVMTS SORTIES &amp; FABRICATIONS'!J115+'VENTES FRANCE'!D115+'VENTES FRANCE'!E115+'VENTES FRANCE'!F115+'VENTES FRANCE'!G115+'VENTES FRANCE'!H115+'VENTES EXPORT &amp; VINS VINES'!D114+'VENTES EXPORT &amp; VINS VINES'!E114+'VENTES EXPORT &amp; VINS VINES'!F114+'VENTES EXPORT &amp; VINS VINES'!G114</f>
        <v>0</v>
      </c>
      <c r="I124" s="66">
        <f t="shared" si="1"/>
        <v>0</v>
      </c>
      <c r="J124" s="97">
        <v>0</v>
      </c>
    </row>
    <row r="125" spans="1:10" x14ac:dyDescent="0.2">
      <c r="A125" s="47"/>
      <c r="B125" s="48"/>
      <c r="C125" s="49"/>
      <c r="D125" s="100"/>
      <c r="E125" s="64"/>
      <c r="F125" s="65"/>
      <c r="G125" s="60">
        <f>'MOUVEMENTS ENTREE'!D116+'MOUVEMENTS ENTREE'!E116+'MOUVEMENTS ENTREE'!F116+'MOUVEMENTS ENTREE'!G116+'MOUVEMENTS ENTREE'!H116+'MOUVEMENTS ENTREE'!I116</f>
        <v>0</v>
      </c>
      <c r="H125" s="66">
        <f>'MVMTS SORTIES &amp; FABRICATIONS'!D116+'MVMTS SORTIES &amp; FABRICATIONS'!E116+'MVMTS SORTIES &amp; FABRICATIONS'!F116+'MVMTS SORTIES &amp; FABRICATIONS'!G116+'MVMTS SORTIES &amp; FABRICATIONS'!H116+'MVMTS SORTIES &amp; FABRICATIONS'!I116+'MVMTS SORTIES &amp; FABRICATIONS'!J116+'VENTES FRANCE'!D116+'VENTES FRANCE'!E116+'VENTES FRANCE'!F116+'VENTES FRANCE'!G116+'VENTES FRANCE'!H116+'VENTES EXPORT &amp; VINS VINES'!D115+'VENTES EXPORT &amp; VINS VINES'!E115+'VENTES EXPORT &amp; VINS VINES'!F115+'VENTES EXPORT &amp; VINS VINES'!G115</f>
        <v>0</v>
      </c>
      <c r="I125" s="66">
        <f t="shared" si="1"/>
        <v>0</v>
      </c>
      <c r="J125" s="97">
        <v>0</v>
      </c>
    </row>
    <row r="126" spans="1:10" x14ac:dyDescent="0.2">
      <c r="A126" s="47"/>
      <c r="B126" s="48"/>
      <c r="C126" s="49"/>
      <c r="D126" s="100"/>
      <c r="E126" s="64"/>
      <c r="F126" s="65"/>
      <c r="G126" s="60">
        <f>'MOUVEMENTS ENTREE'!D117+'MOUVEMENTS ENTREE'!E117+'MOUVEMENTS ENTREE'!F117+'MOUVEMENTS ENTREE'!G117+'MOUVEMENTS ENTREE'!H117+'MOUVEMENTS ENTREE'!I117</f>
        <v>0</v>
      </c>
      <c r="H126" s="66">
        <f>'MVMTS SORTIES &amp; FABRICATIONS'!D117+'MVMTS SORTIES &amp; FABRICATIONS'!E117+'MVMTS SORTIES &amp; FABRICATIONS'!F117+'MVMTS SORTIES &amp; FABRICATIONS'!G117+'MVMTS SORTIES &amp; FABRICATIONS'!H117+'MVMTS SORTIES &amp; FABRICATIONS'!I117+'MVMTS SORTIES &amp; FABRICATIONS'!J117+'VENTES FRANCE'!D117+'VENTES FRANCE'!E117+'VENTES FRANCE'!F117+'VENTES FRANCE'!G117+'VENTES FRANCE'!H117+'VENTES EXPORT &amp; VINS VINES'!D116+'VENTES EXPORT &amp; VINS VINES'!E116+'VENTES EXPORT &amp; VINS VINES'!F116+'VENTES EXPORT &amp; VINS VINES'!G116</f>
        <v>0</v>
      </c>
      <c r="I126" s="66">
        <f t="shared" si="1"/>
        <v>0</v>
      </c>
      <c r="J126" s="97">
        <v>0</v>
      </c>
    </row>
    <row r="127" spans="1:10" x14ac:dyDescent="0.2">
      <c r="A127" s="47"/>
      <c r="B127" s="48"/>
      <c r="C127" s="49"/>
      <c r="D127" s="100"/>
      <c r="E127" s="64"/>
      <c r="F127" s="65"/>
      <c r="G127" s="60">
        <f>'MOUVEMENTS ENTREE'!D118+'MOUVEMENTS ENTREE'!E118+'MOUVEMENTS ENTREE'!F118+'MOUVEMENTS ENTREE'!G118+'MOUVEMENTS ENTREE'!H118+'MOUVEMENTS ENTREE'!I118</f>
        <v>0</v>
      </c>
      <c r="H127" s="66">
        <f>'MVMTS SORTIES &amp; FABRICATIONS'!D118+'MVMTS SORTIES &amp; FABRICATIONS'!E118+'MVMTS SORTIES &amp; FABRICATIONS'!F118+'MVMTS SORTIES &amp; FABRICATIONS'!G118+'MVMTS SORTIES &amp; FABRICATIONS'!H118+'MVMTS SORTIES &amp; FABRICATIONS'!I118+'MVMTS SORTIES &amp; FABRICATIONS'!J118+'VENTES FRANCE'!D118+'VENTES FRANCE'!E118+'VENTES FRANCE'!F118+'VENTES FRANCE'!G118+'VENTES FRANCE'!H118+'VENTES EXPORT &amp; VINS VINES'!D117+'VENTES EXPORT &amp; VINS VINES'!E117+'VENTES EXPORT &amp; VINS VINES'!F117+'VENTES EXPORT &amp; VINS VINES'!G117</f>
        <v>0</v>
      </c>
      <c r="I127" s="66">
        <f t="shared" si="1"/>
        <v>0</v>
      </c>
      <c r="J127" s="97">
        <v>0</v>
      </c>
    </row>
    <row r="128" spans="1:10" x14ac:dyDescent="0.2">
      <c r="A128" s="47"/>
      <c r="B128" s="48"/>
      <c r="C128" s="49"/>
      <c r="D128" s="100"/>
      <c r="E128" s="64"/>
      <c r="F128" s="65"/>
      <c r="G128" s="60">
        <f>'MOUVEMENTS ENTREE'!D119+'MOUVEMENTS ENTREE'!E119+'MOUVEMENTS ENTREE'!F119+'MOUVEMENTS ENTREE'!G119+'MOUVEMENTS ENTREE'!H119+'MOUVEMENTS ENTREE'!I119</f>
        <v>0</v>
      </c>
      <c r="H128" s="66">
        <f>'MVMTS SORTIES &amp; FABRICATIONS'!D119+'MVMTS SORTIES &amp; FABRICATIONS'!E119+'MVMTS SORTIES &amp; FABRICATIONS'!F119+'MVMTS SORTIES &amp; FABRICATIONS'!G119+'MVMTS SORTIES &amp; FABRICATIONS'!H119+'MVMTS SORTIES &amp; FABRICATIONS'!I119+'MVMTS SORTIES &amp; FABRICATIONS'!J119+'VENTES FRANCE'!D119+'VENTES FRANCE'!E119+'VENTES FRANCE'!F119+'VENTES FRANCE'!G119+'VENTES FRANCE'!H119+'VENTES EXPORT &amp; VINS VINES'!D118+'VENTES EXPORT &amp; VINS VINES'!E118+'VENTES EXPORT &amp; VINS VINES'!F118+'VENTES EXPORT &amp; VINS VINES'!G118</f>
        <v>0</v>
      </c>
      <c r="I128" s="66">
        <f t="shared" si="1"/>
        <v>0</v>
      </c>
      <c r="J128" s="97">
        <v>0</v>
      </c>
    </row>
    <row r="129" spans="1:10" x14ac:dyDescent="0.2">
      <c r="A129" s="47"/>
      <c r="B129" s="48"/>
      <c r="C129" s="49"/>
      <c r="D129" s="100"/>
      <c r="E129" s="64"/>
      <c r="F129" s="65"/>
      <c r="G129" s="60">
        <f>'MOUVEMENTS ENTREE'!D120+'MOUVEMENTS ENTREE'!E120+'MOUVEMENTS ENTREE'!F120+'MOUVEMENTS ENTREE'!G120+'MOUVEMENTS ENTREE'!H120+'MOUVEMENTS ENTREE'!I120</f>
        <v>0</v>
      </c>
      <c r="H129" s="66">
        <f>'MVMTS SORTIES &amp; FABRICATIONS'!D120+'MVMTS SORTIES &amp; FABRICATIONS'!E120+'MVMTS SORTIES &amp; FABRICATIONS'!F120+'MVMTS SORTIES &amp; FABRICATIONS'!G120+'MVMTS SORTIES &amp; FABRICATIONS'!H120+'MVMTS SORTIES &amp; FABRICATIONS'!I120+'MVMTS SORTIES &amp; FABRICATIONS'!J120+'VENTES FRANCE'!D120+'VENTES FRANCE'!E120+'VENTES FRANCE'!F120+'VENTES FRANCE'!G120+'VENTES FRANCE'!H120+'VENTES EXPORT &amp; VINS VINES'!D119+'VENTES EXPORT &amp; VINS VINES'!E119+'VENTES EXPORT &amp; VINS VINES'!F119+'VENTES EXPORT &amp; VINS VINES'!G119</f>
        <v>0</v>
      </c>
      <c r="I129" s="66">
        <f t="shared" si="1"/>
        <v>0</v>
      </c>
      <c r="J129" s="97">
        <v>0</v>
      </c>
    </row>
    <row r="130" spans="1:10" x14ac:dyDescent="0.2">
      <c r="A130" s="47"/>
      <c r="B130" s="48"/>
      <c r="C130" s="49"/>
      <c r="D130" s="100"/>
      <c r="E130" s="64"/>
      <c r="F130" s="65"/>
      <c r="G130" s="60">
        <f>'MOUVEMENTS ENTREE'!D121+'MOUVEMENTS ENTREE'!E121+'MOUVEMENTS ENTREE'!F121+'MOUVEMENTS ENTREE'!G121+'MOUVEMENTS ENTREE'!H121+'MOUVEMENTS ENTREE'!I121</f>
        <v>0</v>
      </c>
      <c r="H130" s="66">
        <f>'MVMTS SORTIES &amp; FABRICATIONS'!D121+'MVMTS SORTIES &amp; FABRICATIONS'!E121+'MVMTS SORTIES &amp; FABRICATIONS'!F121+'MVMTS SORTIES &amp; FABRICATIONS'!G121+'MVMTS SORTIES &amp; FABRICATIONS'!H121+'MVMTS SORTIES &amp; FABRICATIONS'!I121+'MVMTS SORTIES &amp; FABRICATIONS'!J121+'VENTES FRANCE'!D121+'VENTES FRANCE'!E121+'VENTES FRANCE'!F121+'VENTES FRANCE'!G121+'VENTES FRANCE'!H121+'VENTES EXPORT &amp; VINS VINES'!D120+'VENTES EXPORT &amp; VINS VINES'!E120+'VENTES EXPORT &amp; VINS VINES'!F120+'VENTES EXPORT &amp; VINS VINES'!G120</f>
        <v>0</v>
      </c>
      <c r="I130" s="66">
        <f t="shared" si="1"/>
        <v>0</v>
      </c>
      <c r="J130" s="97">
        <v>0</v>
      </c>
    </row>
    <row r="131" spans="1:10" x14ac:dyDescent="0.2">
      <c r="A131" s="47"/>
      <c r="B131" s="48"/>
      <c r="C131" s="49"/>
      <c r="D131" s="100"/>
      <c r="E131" s="64"/>
      <c r="F131" s="65"/>
      <c r="G131" s="60">
        <f>'MOUVEMENTS ENTREE'!D122+'MOUVEMENTS ENTREE'!E122+'MOUVEMENTS ENTREE'!F122+'MOUVEMENTS ENTREE'!G122+'MOUVEMENTS ENTREE'!H122+'MOUVEMENTS ENTREE'!I122</f>
        <v>0</v>
      </c>
      <c r="H131" s="66">
        <f>'MVMTS SORTIES &amp; FABRICATIONS'!D122+'MVMTS SORTIES &amp; FABRICATIONS'!E122+'MVMTS SORTIES &amp; FABRICATIONS'!F122+'MVMTS SORTIES &amp; FABRICATIONS'!G122+'MVMTS SORTIES &amp; FABRICATIONS'!H122+'MVMTS SORTIES &amp; FABRICATIONS'!I122+'MVMTS SORTIES &amp; FABRICATIONS'!J122+'VENTES FRANCE'!D122+'VENTES FRANCE'!E122+'VENTES FRANCE'!F122+'VENTES FRANCE'!G122+'VENTES FRANCE'!H122+'VENTES EXPORT &amp; VINS VINES'!D121+'VENTES EXPORT &amp; VINS VINES'!E121+'VENTES EXPORT &amp; VINS VINES'!F121+'VENTES EXPORT &amp; VINS VINES'!G121</f>
        <v>0</v>
      </c>
      <c r="I131" s="66">
        <f t="shared" si="1"/>
        <v>0</v>
      </c>
      <c r="J131" s="97">
        <v>0</v>
      </c>
    </row>
    <row r="132" spans="1:10" x14ac:dyDescent="0.2">
      <c r="A132" s="47"/>
      <c r="B132" s="48"/>
      <c r="C132" s="49"/>
      <c r="D132" s="100"/>
      <c r="E132" s="64"/>
      <c r="F132" s="65"/>
      <c r="G132" s="60">
        <f>'MOUVEMENTS ENTREE'!D123+'MOUVEMENTS ENTREE'!E123+'MOUVEMENTS ENTREE'!F123+'MOUVEMENTS ENTREE'!G123+'MOUVEMENTS ENTREE'!H123+'MOUVEMENTS ENTREE'!I123</f>
        <v>0</v>
      </c>
      <c r="H132" s="66">
        <f>'MVMTS SORTIES &amp; FABRICATIONS'!D123+'MVMTS SORTIES &amp; FABRICATIONS'!E123+'MVMTS SORTIES &amp; FABRICATIONS'!F123+'MVMTS SORTIES &amp; FABRICATIONS'!G123+'MVMTS SORTIES &amp; FABRICATIONS'!H123+'MVMTS SORTIES &amp; FABRICATIONS'!I123+'MVMTS SORTIES &amp; FABRICATIONS'!J123+'VENTES FRANCE'!D123+'VENTES FRANCE'!E123+'VENTES FRANCE'!F123+'VENTES FRANCE'!G123+'VENTES FRANCE'!H123+'VENTES EXPORT &amp; VINS VINES'!D122+'VENTES EXPORT &amp; VINS VINES'!E122+'VENTES EXPORT &amp; VINS VINES'!F122+'VENTES EXPORT &amp; VINS VINES'!G122</f>
        <v>0</v>
      </c>
      <c r="I132" s="66">
        <f t="shared" si="1"/>
        <v>0</v>
      </c>
      <c r="J132" s="97">
        <v>0</v>
      </c>
    </row>
    <row r="133" spans="1:10" x14ac:dyDescent="0.2">
      <c r="A133" s="47"/>
      <c r="B133" s="48"/>
      <c r="C133" s="49"/>
      <c r="D133" s="100"/>
      <c r="E133" s="64"/>
      <c r="F133" s="65"/>
      <c r="G133" s="60">
        <f>'MOUVEMENTS ENTREE'!D124+'MOUVEMENTS ENTREE'!E124+'MOUVEMENTS ENTREE'!F124+'MOUVEMENTS ENTREE'!G124+'MOUVEMENTS ENTREE'!H124+'MOUVEMENTS ENTREE'!I124</f>
        <v>0</v>
      </c>
      <c r="H133" s="66">
        <f>'MVMTS SORTIES &amp; FABRICATIONS'!D124+'MVMTS SORTIES &amp; FABRICATIONS'!E124+'MVMTS SORTIES &amp; FABRICATIONS'!F124+'MVMTS SORTIES &amp; FABRICATIONS'!G124+'MVMTS SORTIES &amp; FABRICATIONS'!H124+'MVMTS SORTIES &amp; FABRICATIONS'!I124+'MVMTS SORTIES &amp; FABRICATIONS'!J124+'VENTES FRANCE'!D124+'VENTES FRANCE'!E124+'VENTES FRANCE'!F124+'VENTES FRANCE'!G124+'VENTES FRANCE'!H124+'VENTES EXPORT &amp; VINS VINES'!D123+'VENTES EXPORT &amp; VINS VINES'!E123+'VENTES EXPORT &amp; VINS VINES'!F123+'VENTES EXPORT &amp; VINS VINES'!G123</f>
        <v>0</v>
      </c>
      <c r="I133" s="66">
        <f t="shared" si="1"/>
        <v>0</v>
      </c>
      <c r="J133" s="97">
        <v>0</v>
      </c>
    </row>
    <row r="134" spans="1:10" x14ac:dyDescent="0.2">
      <c r="A134" s="47"/>
      <c r="B134" s="48"/>
      <c r="C134" s="49"/>
      <c r="D134" s="100"/>
      <c r="E134" s="64"/>
      <c r="F134" s="65"/>
      <c r="G134" s="60">
        <f>'MOUVEMENTS ENTREE'!D125+'MOUVEMENTS ENTREE'!E125+'MOUVEMENTS ENTREE'!F125+'MOUVEMENTS ENTREE'!G125+'MOUVEMENTS ENTREE'!H125+'MOUVEMENTS ENTREE'!I125</f>
        <v>0</v>
      </c>
      <c r="H134" s="66">
        <f>'MVMTS SORTIES &amp; FABRICATIONS'!D125+'MVMTS SORTIES &amp; FABRICATIONS'!E125+'MVMTS SORTIES &amp; FABRICATIONS'!F125+'MVMTS SORTIES &amp; FABRICATIONS'!G125+'MVMTS SORTIES &amp; FABRICATIONS'!H125+'MVMTS SORTIES &amp; FABRICATIONS'!I125+'MVMTS SORTIES &amp; FABRICATIONS'!J125+'VENTES FRANCE'!D125+'VENTES FRANCE'!E125+'VENTES FRANCE'!F125+'VENTES FRANCE'!G125+'VENTES FRANCE'!H125+'VENTES EXPORT &amp; VINS VINES'!D124+'VENTES EXPORT &amp; VINS VINES'!E124+'VENTES EXPORT &amp; VINS VINES'!F124+'VENTES EXPORT &amp; VINS VINES'!G124</f>
        <v>0</v>
      </c>
      <c r="I134" s="66">
        <f t="shared" si="1"/>
        <v>0</v>
      </c>
      <c r="J134" s="97">
        <v>0</v>
      </c>
    </row>
    <row r="135" spans="1:10" x14ac:dyDescent="0.2">
      <c r="A135" s="47"/>
      <c r="B135" s="48"/>
      <c r="C135" s="49"/>
      <c r="D135" s="100"/>
      <c r="E135" s="64"/>
      <c r="F135" s="65"/>
      <c r="G135" s="60">
        <f>'MOUVEMENTS ENTREE'!D126+'MOUVEMENTS ENTREE'!E126+'MOUVEMENTS ENTREE'!F126+'MOUVEMENTS ENTREE'!G126+'MOUVEMENTS ENTREE'!H126+'MOUVEMENTS ENTREE'!I126</f>
        <v>0</v>
      </c>
      <c r="H135" s="66">
        <f>'MVMTS SORTIES &amp; FABRICATIONS'!D126+'MVMTS SORTIES &amp; FABRICATIONS'!E126+'MVMTS SORTIES &amp; FABRICATIONS'!F126+'MVMTS SORTIES &amp; FABRICATIONS'!G126+'MVMTS SORTIES &amp; FABRICATIONS'!H126+'MVMTS SORTIES &amp; FABRICATIONS'!I126+'MVMTS SORTIES &amp; FABRICATIONS'!J126+'VENTES FRANCE'!D126+'VENTES FRANCE'!E126+'VENTES FRANCE'!F126+'VENTES FRANCE'!G126+'VENTES FRANCE'!H126+'VENTES EXPORT &amp; VINS VINES'!D125+'VENTES EXPORT &amp; VINS VINES'!E125+'VENTES EXPORT &amp; VINS VINES'!F125+'VENTES EXPORT &amp; VINS VINES'!G125</f>
        <v>0</v>
      </c>
      <c r="I135" s="66">
        <f t="shared" si="1"/>
        <v>0</v>
      </c>
      <c r="J135" s="97">
        <v>0</v>
      </c>
    </row>
    <row r="136" spans="1:10" x14ac:dyDescent="0.2">
      <c r="A136" s="47"/>
      <c r="B136" s="48"/>
      <c r="C136" s="49"/>
      <c r="D136" s="100"/>
      <c r="E136" s="64"/>
      <c r="F136" s="65"/>
      <c r="G136" s="60">
        <f>'MOUVEMENTS ENTREE'!D127+'MOUVEMENTS ENTREE'!E127+'MOUVEMENTS ENTREE'!F127+'MOUVEMENTS ENTREE'!G127+'MOUVEMENTS ENTREE'!H127+'MOUVEMENTS ENTREE'!I127</f>
        <v>0</v>
      </c>
      <c r="H136" s="66">
        <f>'MVMTS SORTIES &amp; FABRICATIONS'!D127+'MVMTS SORTIES &amp; FABRICATIONS'!E127+'MVMTS SORTIES &amp; FABRICATIONS'!F127+'MVMTS SORTIES &amp; FABRICATIONS'!G127+'MVMTS SORTIES &amp; FABRICATIONS'!H127+'MVMTS SORTIES &amp; FABRICATIONS'!I127+'MVMTS SORTIES &amp; FABRICATIONS'!J127+'VENTES FRANCE'!D127+'VENTES FRANCE'!E127+'VENTES FRANCE'!F127+'VENTES FRANCE'!G127+'VENTES FRANCE'!H127+'VENTES EXPORT &amp; VINS VINES'!D126+'VENTES EXPORT &amp; VINS VINES'!E126+'VENTES EXPORT &amp; VINS VINES'!F126+'VENTES EXPORT &amp; VINS VINES'!G126</f>
        <v>0</v>
      </c>
      <c r="I136" s="66">
        <f t="shared" si="1"/>
        <v>0</v>
      </c>
      <c r="J136" s="97">
        <v>0</v>
      </c>
    </row>
    <row r="137" spans="1:10" x14ac:dyDescent="0.2">
      <c r="A137" s="47"/>
      <c r="B137" s="48"/>
      <c r="C137" s="49"/>
      <c r="D137" s="100"/>
      <c r="E137" s="64"/>
      <c r="F137" s="65"/>
      <c r="G137" s="60">
        <f>'MOUVEMENTS ENTREE'!D128+'MOUVEMENTS ENTREE'!E128+'MOUVEMENTS ENTREE'!F128+'MOUVEMENTS ENTREE'!G128+'MOUVEMENTS ENTREE'!H128+'MOUVEMENTS ENTREE'!I128</f>
        <v>0</v>
      </c>
      <c r="H137" s="66">
        <f>'MVMTS SORTIES &amp; FABRICATIONS'!D128+'MVMTS SORTIES &amp; FABRICATIONS'!E128+'MVMTS SORTIES &amp; FABRICATIONS'!F128+'MVMTS SORTIES &amp; FABRICATIONS'!G128+'MVMTS SORTIES &amp; FABRICATIONS'!H128+'MVMTS SORTIES &amp; FABRICATIONS'!I128+'MVMTS SORTIES &amp; FABRICATIONS'!J128+'VENTES FRANCE'!D128+'VENTES FRANCE'!E128+'VENTES FRANCE'!F128+'VENTES FRANCE'!G128+'VENTES FRANCE'!H128+'VENTES EXPORT &amp; VINS VINES'!D127+'VENTES EXPORT &amp; VINS VINES'!E127+'VENTES EXPORT &amp; VINS VINES'!F127+'VENTES EXPORT &amp; VINS VINES'!G127</f>
        <v>0</v>
      </c>
      <c r="I137" s="66">
        <f t="shared" si="1"/>
        <v>0</v>
      </c>
      <c r="J137" s="97">
        <v>0</v>
      </c>
    </row>
    <row r="138" spans="1:10" x14ac:dyDescent="0.2">
      <c r="A138" s="47"/>
      <c r="B138" s="48"/>
      <c r="C138" s="49"/>
      <c r="D138" s="100"/>
      <c r="E138" s="64"/>
      <c r="F138" s="65"/>
      <c r="G138" s="60">
        <f>'MOUVEMENTS ENTREE'!D129+'MOUVEMENTS ENTREE'!E129+'MOUVEMENTS ENTREE'!F129+'MOUVEMENTS ENTREE'!G129+'MOUVEMENTS ENTREE'!H129+'MOUVEMENTS ENTREE'!I129</f>
        <v>0</v>
      </c>
      <c r="H138" s="66">
        <f>'MVMTS SORTIES &amp; FABRICATIONS'!D129+'MVMTS SORTIES &amp; FABRICATIONS'!E129+'MVMTS SORTIES &amp; FABRICATIONS'!F129+'MVMTS SORTIES &amp; FABRICATIONS'!G129+'MVMTS SORTIES &amp; FABRICATIONS'!H129+'MVMTS SORTIES &amp; FABRICATIONS'!I129+'MVMTS SORTIES &amp; FABRICATIONS'!J129+'VENTES FRANCE'!D129+'VENTES FRANCE'!E129+'VENTES FRANCE'!F129+'VENTES FRANCE'!G129+'VENTES FRANCE'!H129+'VENTES EXPORT &amp; VINS VINES'!D128+'VENTES EXPORT &amp; VINS VINES'!E128+'VENTES EXPORT &amp; VINS VINES'!F128+'VENTES EXPORT &amp; VINS VINES'!G128</f>
        <v>0</v>
      </c>
      <c r="I138" s="66">
        <f t="shared" si="1"/>
        <v>0</v>
      </c>
      <c r="J138" s="97">
        <v>0</v>
      </c>
    </row>
    <row r="139" spans="1:10" x14ac:dyDescent="0.2">
      <c r="A139" s="47"/>
      <c r="B139" s="48"/>
      <c r="C139" s="49"/>
      <c r="D139" s="100"/>
      <c r="E139" s="64"/>
      <c r="F139" s="65"/>
      <c r="G139" s="60">
        <f>'MOUVEMENTS ENTREE'!D130+'MOUVEMENTS ENTREE'!E130+'MOUVEMENTS ENTREE'!F130+'MOUVEMENTS ENTREE'!G130+'MOUVEMENTS ENTREE'!H130+'MOUVEMENTS ENTREE'!I130</f>
        <v>0</v>
      </c>
      <c r="H139" s="66">
        <f>'MVMTS SORTIES &amp; FABRICATIONS'!D130+'MVMTS SORTIES &amp; FABRICATIONS'!E130+'MVMTS SORTIES &amp; FABRICATIONS'!F130+'MVMTS SORTIES &amp; FABRICATIONS'!G130+'MVMTS SORTIES &amp; FABRICATIONS'!H130+'MVMTS SORTIES &amp; FABRICATIONS'!I130+'MVMTS SORTIES &amp; FABRICATIONS'!J130+'VENTES FRANCE'!D130+'VENTES FRANCE'!E130+'VENTES FRANCE'!F130+'VENTES FRANCE'!G130+'VENTES FRANCE'!H130+'VENTES EXPORT &amp; VINS VINES'!D129+'VENTES EXPORT &amp; VINS VINES'!E129+'VENTES EXPORT &amp; VINS VINES'!F129+'VENTES EXPORT &amp; VINS VINES'!G129</f>
        <v>0</v>
      </c>
      <c r="I139" s="66">
        <f t="shared" si="1"/>
        <v>0</v>
      </c>
      <c r="J139" s="97">
        <v>0</v>
      </c>
    </row>
    <row r="140" spans="1:10" x14ac:dyDescent="0.2">
      <c r="A140" s="47"/>
      <c r="B140" s="48"/>
      <c r="C140" s="49"/>
      <c r="D140" s="100"/>
      <c r="E140" s="64"/>
      <c r="F140" s="65"/>
      <c r="G140" s="60">
        <f>'MOUVEMENTS ENTREE'!D131+'MOUVEMENTS ENTREE'!E131+'MOUVEMENTS ENTREE'!F131+'MOUVEMENTS ENTREE'!G131+'MOUVEMENTS ENTREE'!H131+'MOUVEMENTS ENTREE'!I131</f>
        <v>0</v>
      </c>
      <c r="H140" s="66">
        <f>'MVMTS SORTIES &amp; FABRICATIONS'!D131+'MVMTS SORTIES &amp; FABRICATIONS'!E131+'MVMTS SORTIES &amp; FABRICATIONS'!F131+'MVMTS SORTIES &amp; FABRICATIONS'!G131+'MVMTS SORTIES &amp; FABRICATIONS'!H131+'MVMTS SORTIES &amp; FABRICATIONS'!I131+'MVMTS SORTIES &amp; FABRICATIONS'!J131+'VENTES FRANCE'!D131+'VENTES FRANCE'!E131+'VENTES FRANCE'!F131+'VENTES FRANCE'!G131+'VENTES FRANCE'!H131+'VENTES EXPORT &amp; VINS VINES'!D130+'VENTES EXPORT &amp; VINS VINES'!E130+'VENTES EXPORT &amp; VINS VINES'!F130+'VENTES EXPORT &amp; VINS VINES'!G130</f>
        <v>0</v>
      </c>
      <c r="I140" s="66">
        <f t="shared" si="1"/>
        <v>0</v>
      </c>
      <c r="J140" s="97">
        <v>0</v>
      </c>
    </row>
    <row r="141" spans="1:10" x14ac:dyDescent="0.2">
      <c r="A141" s="47"/>
      <c r="B141" s="48"/>
      <c r="C141" s="49"/>
      <c r="D141" s="100"/>
      <c r="E141" s="64"/>
      <c r="F141" s="65"/>
      <c r="G141" s="60">
        <f>'MOUVEMENTS ENTREE'!D132+'MOUVEMENTS ENTREE'!E132+'MOUVEMENTS ENTREE'!F132+'MOUVEMENTS ENTREE'!G132+'MOUVEMENTS ENTREE'!H132+'MOUVEMENTS ENTREE'!I132</f>
        <v>0</v>
      </c>
      <c r="H141" s="66">
        <f>'MVMTS SORTIES &amp; FABRICATIONS'!D132+'MVMTS SORTIES &amp; FABRICATIONS'!E132+'MVMTS SORTIES &amp; FABRICATIONS'!F132+'MVMTS SORTIES &amp; FABRICATIONS'!G132+'MVMTS SORTIES &amp; FABRICATIONS'!H132+'MVMTS SORTIES &amp; FABRICATIONS'!I132+'MVMTS SORTIES &amp; FABRICATIONS'!J132+'VENTES FRANCE'!D132+'VENTES FRANCE'!E132+'VENTES FRANCE'!F132+'VENTES FRANCE'!G132+'VENTES FRANCE'!H132+'VENTES EXPORT &amp; VINS VINES'!D131+'VENTES EXPORT &amp; VINS VINES'!E131+'VENTES EXPORT &amp; VINS VINES'!F131+'VENTES EXPORT &amp; VINS VINES'!G131</f>
        <v>0</v>
      </c>
      <c r="I141" s="66">
        <f t="shared" si="1"/>
        <v>0</v>
      </c>
      <c r="J141" s="97">
        <v>0</v>
      </c>
    </row>
    <row r="142" spans="1:10" x14ac:dyDescent="0.2">
      <c r="A142" s="47"/>
      <c r="B142" s="48"/>
      <c r="C142" s="49"/>
      <c r="D142" s="100"/>
      <c r="E142" s="64"/>
      <c r="F142" s="65"/>
      <c r="G142" s="60">
        <f>'MOUVEMENTS ENTREE'!D133+'MOUVEMENTS ENTREE'!E133+'MOUVEMENTS ENTREE'!F133+'MOUVEMENTS ENTREE'!G133+'MOUVEMENTS ENTREE'!H133+'MOUVEMENTS ENTREE'!I133</f>
        <v>0</v>
      </c>
      <c r="H142" s="66">
        <f>'MVMTS SORTIES &amp; FABRICATIONS'!D133+'MVMTS SORTIES &amp; FABRICATIONS'!E133+'MVMTS SORTIES &amp; FABRICATIONS'!F133+'MVMTS SORTIES &amp; FABRICATIONS'!G133+'MVMTS SORTIES &amp; FABRICATIONS'!H133+'MVMTS SORTIES &amp; FABRICATIONS'!I133+'MVMTS SORTIES &amp; FABRICATIONS'!J133+'VENTES FRANCE'!D133+'VENTES FRANCE'!E133+'VENTES FRANCE'!F133+'VENTES FRANCE'!G133+'VENTES FRANCE'!H133+'VENTES EXPORT &amp; VINS VINES'!D132+'VENTES EXPORT &amp; VINS VINES'!E132+'VENTES EXPORT &amp; VINS VINES'!F132+'VENTES EXPORT &amp; VINS VINES'!G132</f>
        <v>0</v>
      </c>
      <c r="I142" s="66">
        <f t="shared" si="1"/>
        <v>0</v>
      </c>
      <c r="J142" s="97">
        <v>0</v>
      </c>
    </row>
    <row r="143" spans="1:10" x14ac:dyDescent="0.2">
      <c r="A143" s="47"/>
      <c r="B143" s="48"/>
      <c r="C143" s="49"/>
      <c r="D143" s="100"/>
      <c r="E143" s="64"/>
      <c r="F143" s="65"/>
      <c r="G143" s="60">
        <f>'MOUVEMENTS ENTREE'!D134+'MOUVEMENTS ENTREE'!E134+'MOUVEMENTS ENTREE'!F134+'MOUVEMENTS ENTREE'!G134+'MOUVEMENTS ENTREE'!H134+'MOUVEMENTS ENTREE'!I134</f>
        <v>0</v>
      </c>
      <c r="H143" s="66">
        <f>'MVMTS SORTIES &amp; FABRICATIONS'!D134+'MVMTS SORTIES &amp; FABRICATIONS'!E134+'MVMTS SORTIES &amp; FABRICATIONS'!F134+'MVMTS SORTIES &amp; FABRICATIONS'!G134+'MVMTS SORTIES &amp; FABRICATIONS'!H134+'MVMTS SORTIES &amp; FABRICATIONS'!I134+'MVMTS SORTIES &amp; FABRICATIONS'!J134+'VENTES FRANCE'!D134+'VENTES FRANCE'!E134+'VENTES FRANCE'!F134+'VENTES FRANCE'!G134+'VENTES FRANCE'!H134+'VENTES EXPORT &amp; VINS VINES'!D133+'VENTES EXPORT &amp; VINS VINES'!E133+'VENTES EXPORT &amp; VINS VINES'!F133+'VENTES EXPORT &amp; VINS VINES'!G133</f>
        <v>0</v>
      </c>
      <c r="I143" s="66">
        <f t="shared" si="1"/>
        <v>0</v>
      </c>
      <c r="J143" s="97">
        <v>0</v>
      </c>
    </row>
    <row r="144" spans="1:10" x14ac:dyDescent="0.2">
      <c r="A144" s="47"/>
      <c r="B144" s="48"/>
      <c r="C144" s="49"/>
      <c r="D144" s="100"/>
      <c r="E144" s="64"/>
      <c r="F144" s="65"/>
      <c r="G144" s="60">
        <f>'MOUVEMENTS ENTREE'!D135+'MOUVEMENTS ENTREE'!E135+'MOUVEMENTS ENTREE'!F135+'MOUVEMENTS ENTREE'!G135+'MOUVEMENTS ENTREE'!H135+'MOUVEMENTS ENTREE'!I135</f>
        <v>0</v>
      </c>
      <c r="H144" s="66">
        <f>'MVMTS SORTIES &amp; FABRICATIONS'!D135+'MVMTS SORTIES &amp; FABRICATIONS'!E135+'MVMTS SORTIES &amp; FABRICATIONS'!F135+'MVMTS SORTIES &amp; FABRICATIONS'!G135+'MVMTS SORTIES &amp; FABRICATIONS'!H135+'MVMTS SORTIES &amp; FABRICATIONS'!I135+'MVMTS SORTIES &amp; FABRICATIONS'!J135+'VENTES FRANCE'!D135+'VENTES FRANCE'!E135+'VENTES FRANCE'!F135+'VENTES FRANCE'!G135+'VENTES FRANCE'!H135+'VENTES EXPORT &amp; VINS VINES'!D134+'VENTES EXPORT &amp; VINS VINES'!E134+'VENTES EXPORT &amp; VINS VINES'!F134+'VENTES EXPORT &amp; VINS VINES'!G134</f>
        <v>0</v>
      </c>
      <c r="I144" s="66">
        <f t="shared" si="1"/>
        <v>0</v>
      </c>
      <c r="J144" s="97">
        <v>0</v>
      </c>
    </row>
    <row r="145" spans="1:10" x14ac:dyDescent="0.2">
      <c r="A145" s="47"/>
      <c r="B145" s="48"/>
      <c r="C145" s="49"/>
      <c r="D145" s="100"/>
      <c r="E145" s="64"/>
      <c r="F145" s="65"/>
      <c r="G145" s="60">
        <f>'MOUVEMENTS ENTREE'!D136+'MOUVEMENTS ENTREE'!E136+'MOUVEMENTS ENTREE'!F136+'MOUVEMENTS ENTREE'!G136+'MOUVEMENTS ENTREE'!H136+'MOUVEMENTS ENTREE'!I136</f>
        <v>0</v>
      </c>
      <c r="H145" s="66">
        <f>'MVMTS SORTIES &amp; FABRICATIONS'!D136+'MVMTS SORTIES &amp; FABRICATIONS'!E136+'MVMTS SORTIES &amp; FABRICATIONS'!F136+'MVMTS SORTIES &amp; FABRICATIONS'!G136+'MVMTS SORTIES &amp; FABRICATIONS'!H136+'MVMTS SORTIES &amp; FABRICATIONS'!I136+'MVMTS SORTIES &amp; FABRICATIONS'!J136+'VENTES FRANCE'!D136+'VENTES FRANCE'!E136+'VENTES FRANCE'!F136+'VENTES FRANCE'!G136+'VENTES FRANCE'!H136+'VENTES EXPORT &amp; VINS VINES'!D135+'VENTES EXPORT &amp; VINS VINES'!E135+'VENTES EXPORT &amp; VINS VINES'!F135+'VENTES EXPORT &amp; VINS VINES'!G135</f>
        <v>0</v>
      </c>
      <c r="I145" s="66">
        <f t="shared" si="1"/>
        <v>0</v>
      </c>
      <c r="J145" s="97">
        <v>0</v>
      </c>
    </row>
    <row r="146" spans="1:10" x14ac:dyDescent="0.2">
      <c r="A146" s="47"/>
      <c r="B146" s="48"/>
      <c r="C146" s="49"/>
      <c r="D146" s="100"/>
      <c r="E146" s="64"/>
      <c r="F146" s="65"/>
      <c r="G146" s="60">
        <f>'MOUVEMENTS ENTREE'!D137+'MOUVEMENTS ENTREE'!E137+'MOUVEMENTS ENTREE'!F137+'MOUVEMENTS ENTREE'!G137+'MOUVEMENTS ENTREE'!H137+'MOUVEMENTS ENTREE'!I137</f>
        <v>0</v>
      </c>
      <c r="H146" s="66">
        <f>'MVMTS SORTIES &amp; FABRICATIONS'!D137+'MVMTS SORTIES &amp; FABRICATIONS'!E137+'MVMTS SORTIES &amp; FABRICATIONS'!F137+'MVMTS SORTIES &amp; FABRICATIONS'!G137+'MVMTS SORTIES &amp; FABRICATIONS'!H137+'MVMTS SORTIES &amp; FABRICATIONS'!I137+'MVMTS SORTIES &amp; FABRICATIONS'!J137+'VENTES FRANCE'!D137+'VENTES FRANCE'!E137+'VENTES FRANCE'!F137+'VENTES FRANCE'!G137+'VENTES FRANCE'!H137+'VENTES EXPORT &amp; VINS VINES'!D136+'VENTES EXPORT &amp; VINS VINES'!E136+'VENTES EXPORT &amp; VINS VINES'!F136+'VENTES EXPORT &amp; VINS VINES'!G136</f>
        <v>0</v>
      </c>
      <c r="I146" s="66">
        <f t="shared" si="1"/>
        <v>0</v>
      </c>
      <c r="J146" s="97">
        <v>0</v>
      </c>
    </row>
    <row r="147" spans="1:10" x14ac:dyDescent="0.2">
      <c r="A147" s="47"/>
      <c r="B147" s="48"/>
      <c r="C147" s="49"/>
      <c r="D147" s="100"/>
      <c r="E147" s="64"/>
      <c r="F147" s="65"/>
      <c r="G147" s="60">
        <f>'MOUVEMENTS ENTREE'!D138+'MOUVEMENTS ENTREE'!E138+'MOUVEMENTS ENTREE'!F138+'MOUVEMENTS ENTREE'!G138+'MOUVEMENTS ENTREE'!H138+'MOUVEMENTS ENTREE'!I138</f>
        <v>0</v>
      </c>
      <c r="H147" s="66">
        <f>'MVMTS SORTIES &amp; FABRICATIONS'!D138+'MVMTS SORTIES &amp; FABRICATIONS'!E138+'MVMTS SORTIES &amp; FABRICATIONS'!F138+'MVMTS SORTIES &amp; FABRICATIONS'!G138+'MVMTS SORTIES &amp; FABRICATIONS'!H138+'MVMTS SORTIES &amp; FABRICATIONS'!I138+'MVMTS SORTIES &amp; FABRICATIONS'!J138+'VENTES FRANCE'!D138+'VENTES FRANCE'!E138+'VENTES FRANCE'!F138+'VENTES FRANCE'!G138+'VENTES FRANCE'!H138+'VENTES EXPORT &amp; VINS VINES'!D137+'VENTES EXPORT &amp; VINS VINES'!E137+'VENTES EXPORT &amp; VINS VINES'!F137+'VENTES EXPORT &amp; VINS VINES'!G137</f>
        <v>0</v>
      </c>
      <c r="I147" s="66">
        <f t="shared" ref="I147:I210" si="2">D147+E147+F147+G147-H147</f>
        <v>0</v>
      </c>
      <c r="J147" s="97">
        <v>0</v>
      </c>
    </row>
    <row r="148" spans="1:10" x14ac:dyDescent="0.2">
      <c r="A148" s="47"/>
      <c r="B148" s="48"/>
      <c r="C148" s="49"/>
      <c r="D148" s="100"/>
      <c r="E148" s="64"/>
      <c r="F148" s="65"/>
      <c r="G148" s="60">
        <f>'MOUVEMENTS ENTREE'!D139+'MOUVEMENTS ENTREE'!E139+'MOUVEMENTS ENTREE'!F139+'MOUVEMENTS ENTREE'!G139+'MOUVEMENTS ENTREE'!H139+'MOUVEMENTS ENTREE'!I139</f>
        <v>0</v>
      </c>
      <c r="H148" s="66">
        <f>'MVMTS SORTIES &amp; FABRICATIONS'!D139+'MVMTS SORTIES &amp; FABRICATIONS'!E139+'MVMTS SORTIES &amp; FABRICATIONS'!F139+'MVMTS SORTIES &amp; FABRICATIONS'!G139+'MVMTS SORTIES &amp; FABRICATIONS'!H139+'MVMTS SORTIES &amp; FABRICATIONS'!I139+'MVMTS SORTIES &amp; FABRICATIONS'!J139+'VENTES FRANCE'!D139+'VENTES FRANCE'!E139+'VENTES FRANCE'!F139+'VENTES FRANCE'!G139+'VENTES FRANCE'!H139+'VENTES EXPORT &amp; VINS VINES'!D138+'VENTES EXPORT &amp; VINS VINES'!E138+'VENTES EXPORT &amp; VINS VINES'!F138+'VENTES EXPORT &amp; VINS VINES'!G138</f>
        <v>0</v>
      </c>
      <c r="I148" s="66">
        <f t="shared" si="2"/>
        <v>0</v>
      </c>
      <c r="J148" s="97">
        <v>0</v>
      </c>
    </row>
    <row r="149" spans="1:10" x14ac:dyDescent="0.2">
      <c r="A149" s="47"/>
      <c r="B149" s="48"/>
      <c r="C149" s="49"/>
      <c r="D149" s="100"/>
      <c r="E149" s="64"/>
      <c r="F149" s="65"/>
      <c r="G149" s="60">
        <f>'MOUVEMENTS ENTREE'!D140+'MOUVEMENTS ENTREE'!E140+'MOUVEMENTS ENTREE'!F140+'MOUVEMENTS ENTREE'!G140+'MOUVEMENTS ENTREE'!H140+'MOUVEMENTS ENTREE'!I140</f>
        <v>0</v>
      </c>
      <c r="H149" s="66">
        <f>'MVMTS SORTIES &amp; FABRICATIONS'!D140+'MVMTS SORTIES &amp; FABRICATIONS'!E140+'MVMTS SORTIES &amp; FABRICATIONS'!F140+'MVMTS SORTIES &amp; FABRICATIONS'!G140+'MVMTS SORTIES &amp; FABRICATIONS'!H140+'MVMTS SORTIES &amp; FABRICATIONS'!I140+'MVMTS SORTIES &amp; FABRICATIONS'!J140+'VENTES FRANCE'!D140+'VENTES FRANCE'!E140+'VENTES FRANCE'!F140+'VENTES FRANCE'!G140+'VENTES FRANCE'!H140+'VENTES EXPORT &amp; VINS VINES'!D139+'VENTES EXPORT &amp; VINS VINES'!E139+'VENTES EXPORT &amp; VINS VINES'!F139+'VENTES EXPORT &amp; VINS VINES'!G139</f>
        <v>0</v>
      </c>
      <c r="I149" s="66">
        <f t="shared" si="2"/>
        <v>0</v>
      </c>
      <c r="J149" s="97">
        <v>0</v>
      </c>
    </row>
    <row r="150" spans="1:10" x14ac:dyDescent="0.2">
      <c r="A150" s="47"/>
      <c r="B150" s="48"/>
      <c r="C150" s="49"/>
      <c r="D150" s="100"/>
      <c r="E150" s="64"/>
      <c r="F150" s="65"/>
      <c r="G150" s="60">
        <f>'MOUVEMENTS ENTREE'!D141+'MOUVEMENTS ENTREE'!E141+'MOUVEMENTS ENTREE'!F141+'MOUVEMENTS ENTREE'!G141+'MOUVEMENTS ENTREE'!H141+'MOUVEMENTS ENTREE'!I141</f>
        <v>0</v>
      </c>
      <c r="H150" s="66">
        <f>'MVMTS SORTIES &amp; FABRICATIONS'!D141+'MVMTS SORTIES &amp; FABRICATIONS'!E141+'MVMTS SORTIES &amp; FABRICATIONS'!F141+'MVMTS SORTIES &amp; FABRICATIONS'!G141+'MVMTS SORTIES &amp; FABRICATIONS'!H141+'MVMTS SORTIES &amp; FABRICATIONS'!I141+'MVMTS SORTIES &amp; FABRICATIONS'!J141+'VENTES FRANCE'!D141+'VENTES FRANCE'!E141+'VENTES FRANCE'!F141+'VENTES FRANCE'!G141+'VENTES FRANCE'!H141+'VENTES EXPORT &amp; VINS VINES'!D140+'VENTES EXPORT &amp; VINS VINES'!E140+'VENTES EXPORT &amp; VINS VINES'!F140+'VENTES EXPORT &amp; VINS VINES'!G140</f>
        <v>0</v>
      </c>
      <c r="I150" s="66">
        <f t="shared" si="2"/>
        <v>0</v>
      </c>
      <c r="J150" s="97">
        <v>0</v>
      </c>
    </row>
    <row r="151" spans="1:10" x14ac:dyDescent="0.2">
      <c r="A151" s="47"/>
      <c r="B151" s="48"/>
      <c r="C151" s="49"/>
      <c r="D151" s="100"/>
      <c r="E151" s="64"/>
      <c r="F151" s="65"/>
      <c r="G151" s="60">
        <f>'MOUVEMENTS ENTREE'!D142+'MOUVEMENTS ENTREE'!E142+'MOUVEMENTS ENTREE'!F142+'MOUVEMENTS ENTREE'!G142+'MOUVEMENTS ENTREE'!H142+'MOUVEMENTS ENTREE'!I142</f>
        <v>0</v>
      </c>
      <c r="H151" s="66">
        <f>'MVMTS SORTIES &amp; FABRICATIONS'!D142+'MVMTS SORTIES &amp; FABRICATIONS'!E142+'MVMTS SORTIES &amp; FABRICATIONS'!F142+'MVMTS SORTIES &amp; FABRICATIONS'!G142+'MVMTS SORTIES &amp; FABRICATIONS'!H142+'MVMTS SORTIES &amp; FABRICATIONS'!I142+'MVMTS SORTIES &amp; FABRICATIONS'!J142+'VENTES FRANCE'!D142+'VENTES FRANCE'!E142+'VENTES FRANCE'!F142+'VENTES FRANCE'!G142+'VENTES FRANCE'!H142+'VENTES EXPORT &amp; VINS VINES'!D141+'VENTES EXPORT &amp; VINS VINES'!E141+'VENTES EXPORT &amp; VINS VINES'!F141+'VENTES EXPORT &amp; VINS VINES'!G141</f>
        <v>0</v>
      </c>
      <c r="I151" s="66">
        <f t="shared" si="2"/>
        <v>0</v>
      </c>
      <c r="J151" s="97">
        <v>0</v>
      </c>
    </row>
    <row r="152" spans="1:10" x14ac:dyDescent="0.2">
      <c r="A152" s="47"/>
      <c r="B152" s="48"/>
      <c r="C152" s="49"/>
      <c r="D152" s="100"/>
      <c r="E152" s="64"/>
      <c r="F152" s="65"/>
      <c r="G152" s="60">
        <f>'MOUVEMENTS ENTREE'!D143+'MOUVEMENTS ENTREE'!E143+'MOUVEMENTS ENTREE'!F143+'MOUVEMENTS ENTREE'!G143+'MOUVEMENTS ENTREE'!H143+'MOUVEMENTS ENTREE'!I143</f>
        <v>0</v>
      </c>
      <c r="H152" s="66">
        <f>'MVMTS SORTIES &amp; FABRICATIONS'!D143+'MVMTS SORTIES &amp; FABRICATIONS'!E143+'MVMTS SORTIES &amp; FABRICATIONS'!F143+'MVMTS SORTIES &amp; FABRICATIONS'!G143+'MVMTS SORTIES &amp; FABRICATIONS'!H143+'MVMTS SORTIES &amp; FABRICATIONS'!I143+'MVMTS SORTIES &amp; FABRICATIONS'!J143+'VENTES FRANCE'!D143+'VENTES FRANCE'!E143+'VENTES FRANCE'!F143+'VENTES FRANCE'!G143+'VENTES FRANCE'!H143+'VENTES EXPORT &amp; VINS VINES'!D142+'VENTES EXPORT &amp; VINS VINES'!E142+'VENTES EXPORT &amp; VINS VINES'!F142+'VENTES EXPORT &amp; VINS VINES'!G142</f>
        <v>0</v>
      </c>
      <c r="I152" s="66">
        <f t="shared" si="2"/>
        <v>0</v>
      </c>
      <c r="J152" s="97">
        <v>0</v>
      </c>
    </row>
    <row r="153" spans="1:10" x14ac:dyDescent="0.2">
      <c r="A153" s="47"/>
      <c r="B153" s="48"/>
      <c r="C153" s="49"/>
      <c r="D153" s="100"/>
      <c r="E153" s="64"/>
      <c r="F153" s="65"/>
      <c r="G153" s="60">
        <f>'MOUVEMENTS ENTREE'!D144+'MOUVEMENTS ENTREE'!E144+'MOUVEMENTS ENTREE'!F144+'MOUVEMENTS ENTREE'!G144+'MOUVEMENTS ENTREE'!H144+'MOUVEMENTS ENTREE'!I144</f>
        <v>0</v>
      </c>
      <c r="H153" s="66">
        <f>'MVMTS SORTIES &amp; FABRICATIONS'!D144+'MVMTS SORTIES &amp; FABRICATIONS'!E144+'MVMTS SORTIES &amp; FABRICATIONS'!F144+'MVMTS SORTIES &amp; FABRICATIONS'!G144+'MVMTS SORTIES &amp; FABRICATIONS'!H144+'MVMTS SORTIES &amp; FABRICATIONS'!I144+'MVMTS SORTIES &amp; FABRICATIONS'!J144+'VENTES FRANCE'!D144+'VENTES FRANCE'!E144+'VENTES FRANCE'!F144+'VENTES FRANCE'!G144+'VENTES FRANCE'!H144+'VENTES EXPORT &amp; VINS VINES'!D143+'VENTES EXPORT &amp; VINS VINES'!E143+'VENTES EXPORT &amp; VINS VINES'!F143+'VENTES EXPORT &amp; VINS VINES'!G143</f>
        <v>0</v>
      </c>
      <c r="I153" s="66">
        <f t="shared" si="2"/>
        <v>0</v>
      </c>
      <c r="J153" s="97">
        <v>0</v>
      </c>
    </row>
    <row r="154" spans="1:10" x14ac:dyDescent="0.2">
      <c r="A154" s="47"/>
      <c r="B154" s="48"/>
      <c r="C154" s="49"/>
      <c r="D154" s="100"/>
      <c r="E154" s="64"/>
      <c r="F154" s="65"/>
      <c r="G154" s="60">
        <f>'MOUVEMENTS ENTREE'!D145+'MOUVEMENTS ENTREE'!E145+'MOUVEMENTS ENTREE'!F145+'MOUVEMENTS ENTREE'!G145+'MOUVEMENTS ENTREE'!H145+'MOUVEMENTS ENTREE'!I145</f>
        <v>0</v>
      </c>
      <c r="H154" s="66">
        <f>'MVMTS SORTIES &amp; FABRICATIONS'!D145+'MVMTS SORTIES &amp; FABRICATIONS'!E145+'MVMTS SORTIES &amp; FABRICATIONS'!F145+'MVMTS SORTIES &amp; FABRICATIONS'!G145+'MVMTS SORTIES &amp; FABRICATIONS'!H145+'MVMTS SORTIES &amp; FABRICATIONS'!I145+'MVMTS SORTIES &amp; FABRICATIONS'!J145+'VENTES FRANCE'!D145+'VENTES FRANCE'!E145+'VENTES FRANCE'!F145+'VENTES FRANCE'!G145+'VENTES FRANCE'!H145+'VENTES EXPORT &amp; VINS VINES'!D144+'VENTES EXPORT &amp; VINS VINES'!E144+'VENTES EXPORT &amp; VINS VINES'!F144+'VENTES EXPORT &amp; VINS VINES'!G144</f>
        <v>0</v>
      </c>
      <c r="I154" s="66">
        <f t="shared" si="2"/>
        <v>0</v>
      </c>
      <c r="J154" s="97">
        <v>0</v>
      </c>
    </row>
    <row r="155" spans="1:10" x14ac:dyDescent="0.2">
      <c r="A155" s="47"/>
      <c r="B155" s="48"/>
      <c r="C155" s="49"/>
      <c r="D155" s="100"/>
      <c r="E155" s="64"/>
      <c r="F155" s="65"/>
      <c r="G155" s="60">
        <f>'MOUVEMENTS ENTREE'!D146+'MOUVEMENTS ENTREE'!E146+'MOUVEMENTS ENTREE'!F146+'MOUVEMENTS ENTREE'!G146+'MOUVEMENTS ENTREE'!H146+'MOUVEMENTS ENTREE'!I146</f>
        <v>0</v>
      </c>
      <c r="H155" s="66">
        <f>'MVMTS SORTIES &amp; FABRICATIONS'!D146+'MVMTS SORTIES &amp; FABRICATIONS'!E146+'MVMTS SORTIES &amp; FABRICATIONS'!F146+'MVMTS SORTIES &amp; FABRICATIONS'!G146+'MVMTS SORTIES &amp; FABRICATIONS'!H146+'MVMTS SORTIES &amp; FABRICATIONS'!I146+'MVMTS SORTIES &amp; FABRICATIONS'!J146+'VENTES FRANCE'!D146+'VENTES FRANCE'!E146+'VENTES FRANCE'!F146+'VENTES FRANCE'!G146+'VENTES FRANCE'!H146+'VENTES EXPORT &amp; VINS VINES'!D145+'VENTES EXPORT &amp; VINS VINES'!E145+'VENTES EXPORT &amp; VINS VINES'!F145+'VENTES EXPORT &amp; VINS VINES'!G145</f>
        <v>0</v>
      </c>
      <c r="I155" s="66">
        <f t="shared" si="2"/>
        <v>0</v>
      </c>
      <c r="J155" s="97">
        <v>0</v>
      </c>
    </row>
    <row r="156" spans="1:10" x14ac:dyDescent="0.2">
      <c r="A156" s="47"/>
      <c r="B156" s="48"/>
      <c r="C156" s="49"/>
      <c r="D156" s="100"/>
      <c r="E156" s="64"/>
      <c r="F156" s="65"/>
      <c r="G156" s="60">
        <f>'MOUVEMENTS ENTREE'!D147+'MOUVEMENTS ENTREE'!E147+'MOUVEMENTS ENTREE'!F147+'MOUVEMENTS ENTREE'!G147+'MOUVEMENTS ENTREE'!H147+'MOUVEMENTS ENTREE'!I147</f>
        <v>0</v>
      </c>
      <c r="H156" s="66">
        <f>'MVMTS SORTIES &amp; FABRICATIONS'!D147+'MVMTS SORTIES &amp; FABRICATIONS'!E147+'MVMTS SORTIES &amp; FABRICATIONS'!F147+'MVMTS SORTIES &amp; FABRICATIONS'!G147+'MVMTS SORTIES &amp; FABRICATIONS'!H147+'MVMTS SORTIES &amp; FABRICATIONS'!I147+'MVMTS SORTIES &amp; FABRICATIONS'!J147+'VENTES FRANCE'!D147+'VENTES FRANCE'!E147+'VENTES FRANCE'!F147+'VENTES FRANCE'!G147+'VENTES FRANCE'!H147+'VENTES EXPORT &amp; VINS VINES'!D146+'VENTES EXPORT &amp; VINS VINES'!E146+'VENTES EXPORT &amp; VINS VINES'!F146+'VENTES EXPORT &amp; VINS VINES'!G146</f>
        <v>0</v>
      </c>
      <c r="I156" s="66">
        <f t="shared" si="2"/>
        <v>0</v>
      </c>
      <c r="J156" s="97">
        <v>0</v>
      </c>
    </row>
    <row r="157" spans="1:10" x14ac:dyDescent="0.2">
      <c r="A157" s="47"/>
      <c r="B157" s="48"/>
      <c r="C157" s="49"/>
      <c r="D157" s="100"/>
      <c r="E157" s="64"/>
      <c r="F157" s="65"/>
      <c r="G157" s="60">
        <f>'MOUVEMENTS ENTREE'!D148+'MOUVEMENTS ENTREE'!E148+'MOUVEMENTS ENTREE'!F148+'MOUVEMENTS ENTREE'!G148+'MOUVEMENTS ENTREE'!H148+'MOUVEMENTS ENTREE'!I148</f>
        <v>0</v>
      </c>
      <c r="H157" s="66">
        <f>'MVMTS SORTIES &amp; FABRICATIONS'!D148+'MVMTS SORTIES &amp; FABRICATIONS'!E148+'MVMTS SORTIES &amp; FABRICATIONS'!F148+'MVMTS SORTIES &amp; FABRICATIONS'!G148+'MVMTS SORTIES &amp; FABRICATIONS'!H148+'MVMTS SORTIES &amp; FABRICATIONS'!I148+'MVMTS SORTIES &amp; FABRICATIONS'!J148+'VENTES FRANCE'!D148+'VENTES FRANCE'!E148+'VENTES FRANCE'!F148+'VENTES FRANCE'!G148+'VENTES FRANCE'!H148+'VENTES EXPORT &amp; VINS VINES'!D147+'VENTES EXPORT &amp; VINS VINES'!E147+'VENTES EXPORT &amp; VINS VINES'!F147+'VENTES EXPORT &amp; VINS VINES'!G147</f>
        <v>0</v>
      </c>
      <c r="I157" s="66">
        <f t="shared" si="2"/>
        <v>0</v>
      </c>
      <c r="J157" s="97">
        <v>0</v>
      </c>
    </row>
    <row r="158" spans="1:10" x14ac:dyDescent="0.2">
      <c r="A158" s="47"/>
      <c r="B158" s="48"/>
      <c r="C158" s="49"/>
      <c r="D158" s="100"/>
      <c r="E158" s="64"/>
      <c r="F158" s="65"/>
      <c r="G158" s="60">
        <f>'MOUVEMENTS ENTREE'!D149+'MOUVEMENTS ENTREE'!E149+'MOUVEMENTS ENTREE'!F149+'MOUVEMENTS ENTREE'!G149+'MOUVEMENTS ENTREE'!H149+'MOUVEMENTS ENTREE'!I149</f>
        <v>0</v>
      </c>
      <c r="H158" s="66">
        <f>'MVMTS SORTIES &amp; FABRICATIONS'!D149+'MVMTS SORTIES &amp; FABRICATIONS'!E149+'MVMTS SORTIES &amp; FABRICATIONS'!F149+'MVMTS SORTIES &amp; FABRICATIONS'!G149+'MVMTS SORTIES &amp; FABRICATIONS'!H149+'MVMTS SORTIES &amp; FABRICATIONS'!I149+'MVMTS SORTIES &amp; FABRICATIONS'!J149+'VENTES FRANCE'!D149+'VENTES FRANCE'!E149+'VENTES FRANCE'!F149+'VENTES FRANCE'!G149+'VENTES FRANCE'!H149+'VENTES EXPORT &amp; VINS VINES'!D148+'VENTES EXPORT &amp; VINS VINES'!E148+'VENTES EXPORT &amp; VINS VINES'!F148+'VENTES EXPORT &amp; VINS VINES'!G148</f>
        <v>0</v>
      </c>
      <c r="I158" s="66">
        <f t="shared" si="2"/>
        <v>0</v>
      </c>
      <c r="J158" s="97">
        <v>0</v>
      </c>
    </row>
    <row r="159" spans="1:10" x14ac:dyDescent="0.2">
      <c r="A159" s="47"/>
      <c r="B159" s="48"/>
      <c r="C159" s="49"/>
      <c r="D159" s="100"/>
      <c r="E159" s="64"/>
      <c r="F159" s="65"/>
      <c r="G159" s="60">
        <f>'MOUVEMENTS ENTREE'!D150+'MOUVEMENTS ENTREE'!E150+'MOUVEMENTS ENTREE'!F150+'MOUVEMENTS ENTREE'!G150+'MOUVEMENTS ENTREE'!H150+'MOUVEMENTS ENTREE'!I150</f>
        <v>0</v>
      </c>
      <c r="H159" s="66">
        <f>'MVMTS SORTIES &amp; FABRICATIONS'!D150+'MVMTS SORTIES &amp; FABRICATIONS'!E150+'MVMTS SORTIES &amp; FABRICATIONS'!F150+'MVMTS SORTIES &amp; FABRICATIONS'!G150+'MVMTS SORTIES &amp; FABRICATIONS'!H150+'MVMTS SORTIES &amp; FABRICATIONS'!I150+'MVMTS SORTIES &amp; FABRICATIONS'!J150+'VENTES FRANCE'!D150+'VENTES FRANCE'!E150+'VENTES FRANCE'!F150+'VENTES FRANCE'!G150+'VENTES FRANCE'!H150+'VENTES EXPORT &amp; VINS VINES'!D149+'VENTES EXPORT &amp; VINS VINES'!E149+'VENTES EXPORT &amp; VINS VINES'!F149+'VENTES EXPORT &amp; VINS VINES'!G149</f>
        <v>0</v>
      </c>
      <c r="I159" s="66">
        <f t="shared" si="2"/>
        <v>0</v>
      </c>
      <c r="J159" s="97">
        <v>0</v>
      </c>
    </row>
    <row r="160" spans="1:10" x14ac:dyDescent="0.2">
      <c r="A160" s="47"/>
      <c r="B160" s="48"/>
      <c r="C160" s="49"/>
      <c r="D160" s="100"/>
      <c r="E160" s="64"/>
      <c r="F160" s="65"/>
      <c r="G160" s="60">
        <f>'MOUVEMENTS ENTREE'!D151+'MOUVEMENTS ENTREE'!E151+'MOUVEMENTS ENTREE'!F151+'MOUVEMENTS ENTREE'!G151+'MOUVEMENTS ENTREE'!H151+'MOUVEMENTS ENTREE'!I151</f>
        <v>0</v>
      </c>
      <c r="H160" s="66">
        <f>'MVMTS SORTIES &amp; FABRICATIONS'!D151+'MVMTS SORTIES &amp; FABRICATIONS'!E151+'MVMTS SORTIES &amp; FABRICATIONS'!F151+'MVMTS SORTIES &amp; FABRICATIONS'!G151+'MVMTS SORTIES &amp; FABRICATIONS'!H151+'MVMTS SORTIES &amp; FABRICATIONS'!I151+'MVMTS SORTIES &amp; FABRICATIONS'!J151+'VENTES FRANCE'!D151+'VENTES FRANCE'!E151+'VENTES FRANCE'!F151+'VENTES FRANCE'!G151+'VENTES FRANCE'!H151+'VENTES EXPORT &amp; VINS VINES'!D150+'VENTES EXPORT &amp; VINS VINES'!E150+'VENTES EXPORT &amp; VINS VINES'!F150+'VENTES EXPORT &amp; VINS VINES'!G150</f>
        <v>0</v>
      </c>
      <c r="I160" s="66">
        <f t="shared" si="2"/>
        <v>0</v>
      </c>
      <c r="J160" s="97">
        <v>0</v>
      </c>
    </row>
    <row r="161" spans="1:10" x14ac:dyDescent="0.2">
      <c r="A161" s="47"/>
      <c r="B161" s="48"/>
      <c r="C161" s="49"/>
      <c r="D161" s="100"/>
      <c r="E161" s="64"/>
      <c r="F161" s="65"/>
      <c r="G161" s="60">
        <f>'MOUVEMENTS ENTREE'!D152+'MOUVEMENTS ENTREE'!E152+'MOUVEMENTS ENTREE'!F152+'MOUVEMENTS ENTREE'!G152+'MOUVEMENTS ENTREE'!H152+'MOUVEMENTS ENTREE'!I152</f>
        <v>0</v>
      </c>
      <c r="H161" s="66">
        <f>'MVMTS SORTIES &amp; FABRICATIONS'!D152+'MVMTS SORTIES &amp; FABRICATIONS'!E152+'MVMTS SORTIES &amp; FABRICATIONS'!F152+'MVMTS SORTIES &amp; FABRICATIONS'!G152+'MVMTS SORTIES &amp; FABRICATIONS'!H152+'MVMTS SORTIES &amp; FABRICATIONS'!I152+'MVMTS SORTIES &amp; FABRICATIONS'!J152+'VENTES FRANCE'!D152+'VENTES FRANCE'!E152+'VENTES FRANCE'!F152+'VENTES FRANCE'!G152+'VENTES FRANCE'!H152+'VENTES EXPORT &amp; VINS VINES'!D151+'VENTES EXPORT &amp; VINS VINES'!E151+'VENTES EXPORT &amp; VINS VINES'!F151+'VENTES EXPORT &amp; VINS VINES'!G151</f>
        <v>0</v>
      </c>
      <c r="I161" s="66">
        <f t="shared" si="2"/>
        <v>0</v>
      </c>
      <c r="J161" s="97">
        <v>0</v>
      </c>
    </row>
    <row r="162" spans="1:10" x14ac:dyDescent="0.2">
      <c r="A162" s="47"/>
      <c r="B162" s="48"/>
      <c r="C162" s="49"/>
      <c r="D162" s="100"/>
      <c r="E162" s="64"/>
      <c r="F162" s="65"/>
      <c r="G162" s="60">
        <f>'MOUVEMENTS ENTREE'!D153+'MOUVEMENTS ENTREE'!E153+'MOUVEMENTS ENTREE'!F153+'MOUVEMENTS ENTREE'!G153+'MOUVEMENTS ENTREE'!H153+'MOUVEMENTS ENTREE'!I153</f>
        <v>0</v>
      </c>
      <c r="H162" s="66">
        <f>'MVMTS SORTIES &amp; FABRICATIONS'!D153+'MVMTS SORTIES &amp; FABRICATIONS'!E153+'MVMTS SORTIES &amp; FABRICATIONS'!F153+'MVMTS SORTIES &amp; FABRICATIONS'!G153+'MVMTS SORTIES &amp; FABRICATIONS'!H153+'MVMTS SORTIES &amp; FABRICATIONS'!I153+'MVMTS SORTIES &amp; FABRICATIONS'!J153+'VENTES FRANCE'!D153+'VENTES FRANCE'!E153+'VENTES FRANCE'!F153+'VENTES FRANCE'!G153+'VENTES FRANCE'!H153+'VENTES EXPORT &amp; VINS VINES'!D152+'VENTES EXPORT &amp; VINS VINES'!E152+'VENTES EXPORT &amp; VINS VINES'!F152+'VENTES EXPORT &amp; VINS VINES'!G152</f>
        <v>0</v>
      </c>
      <c r="I162" s="66">
        <f t="shared" si="2"/>
        <v>0</v>
      </c>
      <c r="J162" s="97">
        <v>0</v>
      </c>
    </row>
    <row r="163" spans="1:10" x14ac:dyDescent="0.2">
      <c r="A163" s="47"/>
      <c r="B163" s="48"/>
      <c r="C163" s="49"/>
      <c r="D163" s="100"/>
      <c r="E163" s="64"/>
      <c r="F163" s="65"/>
      <c r="G163" s="60">
        <f>'MOUVEMENTS ENTREE'!D154+'MOUVEMENTS ENTREE'!E154+'MOUVEMENTS ENTREE'!F154+'MOUVEMENTS ENTREE'!G154+'MOUVEMENTS ENTREE'!H154+'MOUVEMENTS ENTREE'!I154</f>
        <v>0</v>
      </c>
      <c r="H163" s="66">
        <f>'MVMTS SORTIES &amp; FABRICATIONS'!D154+'MVMTS SORTIES &amp; FABRICATIONS'!E154+'MVMTS SORTIES &amp; FABRICATIONS'!F154+'MVMTS SORTIES &amp; FABRICATIONS'!G154+'MVMTS SORTIES &amp; FABRICATIONS'!H154+'MVMTS SORTIES &amp; FABRICATIONS'!I154+'MVMTS SORTIES &amp; FABRICATIONS'!J154+'VENTES FRANCE'!D154+'VENTES FRANCE'!E154+'VENTES FRANCE'!F154+'VENTES FRANCE'!G154+'VENTES FRANCE'!H154+'VENTES EXPORT &amp; VINS VINES'!D153+'VENTES EXPORT &amp; VINS VINES'!E153+'VENTES EXPORT &amp; VINS VINES'!F153+'VENTES EXPORT &amp; VINS VINES'!G153</f>
        <v>0</v>
      </c>
      <c r="I163" s="66">
        <f t="shared" si="2"/>
        <v>0</v>
      </c>
      <c r="J163" s="97">
        <v>0</v>
      </c>
    </row>
    <row r="164" spans="1:10" x14ac:dyDescent="0.2">
      <c r="A164" s="47"/>
      <c r="B164" s="48"/>
      <c r="C164" s="49"/>
      <c r="D164" s="100"/>
      <c r="E164" s="64"/>
      <c r="F164" s="65"/>
      <c r="G164" s="60">
        <f>'MOUVEMENTS ENTREE'!D155+'MOUVEMENTS ENTREE'!E155+'MOUVEMENTS ENTREE'!F155+'MOUVEMENTS ENTREE'!G155+'MOUVEMENTS ENTREE'!H155+'MOUVEMENTS ENTREE'!I155</f>
        <v>0</v>
      </c>
      <c r="H164" s="66">
        <f>'MVMTS SORTIES &amp; FABRICATIONS'!D155+'MVMTS SORTIES &amp; FABRICATIONS'!E155+'MVMTS SORTIES &amp; FABRICATIONS'!F155+'MVMTS SORTIES &amp; FABRICATIONS'!G155+'MVMTS SORTIES &amp; FABRICATIONS'!H155+'MVMTS SORTIES &amp; FABRICATIONS'!I155+'MVMTS SORTIES &amp; FABRICATIONS'!J155+'VENTES FRANCE'!D155+'VENTES FRANCE'!E155+'VENTES FRANCE'!F155+'VENTES FRANCE'!G155+'VENTES FRANCE'!H155+'VENTES EXPORT &amp; VINS VINES'!D154+'VENTES EXPORT &amp; VINS VINES'!E154+'VENTES EXPORT &amp; VINS VINES'!F154+'VENTES EXPORT &amp; VINS VINES'!G154</f>
        <v>0</v>
      </c>
      <c r="I164" s="66">
        <f t="shared" si="2"/>
        <v>0</v>
      </c>
      <c r="J164" s="97">
        <v>0</v>
      </c>
    </row>
    <row r="165" spans="1:10" x14ac:dyDescent="0.2">
      <c r="A165" s="47"/>
      <c r="B165" s="48"/>
      <c r="C165" s="49"/>
      <c r="D165" s="100"/>
      <c r="E165" s="64"/>
      <c r="F165" s="65"/>
      <c r="G165" s="60">
        <f>'MOUVEMENTS ENTREE'!D156+'MOUVEMENTS ENTREE'!E156+'MOUVEMENTS ENTREE'!F156+'MOUVEMENTS ENTREE'!G156+'MOUVEMENTS ENTREE'!H156+'MOUVEMENTS ENTREE'!I156</f>
        <v>0</v>
      </c>
      <c r="H165" s="66">
        <f>'MVMTS SORTIES &amp; FABRICATIONS'!D156+'MVMTS SORTIES &amp; FABRICATIONS'!E156+'MVMTS SORTIES &amp; FABRICATIONS'!F156+'MVMTS SORTIES &amp; FABRICATIONS'!G156+'MVMTS SORTIES &amp; FABRICATIONS'!H156+'MVMTS SORTIES &amp; FABRICATIONS'!I156+'MVMTS SORTIES &amp; FABRICATIONS'!J156+'VENTES FRANCE'!D156+'VENTES FRANCE'!E156+'VENTES FRANCE'!F156+'VENTES FRANCE'!G156+'VENTES FRANCE'!H156+'VENTES EXPORT &amp; VINS VINES'!D155+'VENTES EXPORT &amp; VINS VINES'!E155+'VENTES EXPORT &amp; VINS VINES'!F155+'VENTES EXPORT &amp; VINS VINES'!G155</f>
        <v>0</v>
      </c>
      <c r="I165" s="66">
        <f t="shared" si="2"/>
        <v>0</v>
      </c>
      <c r="J165" s="97">
        <v>0</v>
      </c>
    </row>
    <row r="166" spans="1:10" x14ac:dyDescent="0.2">
      <c r="A166" s="47"/>
      <c r="B166" s="48"/>
      <c r="C166" s="49"/>
      <c r="D166" s="100"/>
      <c r="E166" s="64"/>
      <c r="F166" s="65"/>
      <c r="G166" s="60">
        <f>'MOUVEMENTS ENTREE'!D157+'MOUVEMENTS ENTREE'!E157+'MOUVEMENTS ENTREE'!F157+'MOUVEMENTS ENTREE'!G157+'MOUVEMENTS ENTREE'!H157+'MOUVEMENTS ENTREE'!I157</f>
        <v>0</v>
      </c>
      <c r="H166" s="66">
        <f>'MVMTS SORTIES &amp; FABRICATIONS'!D157+'MVMTS SORTIES &amp; FABRICATIONS'!E157+'MVMTS SORTIES &amp; FABRICATIONS'!F157+'MVMTS SORTIES &amp; FABRICATIONS'!G157+'MVMTS SORTIES &amp; FABRICATIONS'!H157+'MVMTS SORTIES &amp; FABRICATIONS'!I157+'MVMTS SORTIES &amp; FABRICATIONS'!J157+'VENTES FRANCE'!D157+'VENTES FRANCE'!E157+'VENTES FRANCE'!F157+'VENTES FRANCE'!G157+'VENTES FRANCE'!H157+'VENTES EXPORT &amp; VINS VINES'!D156+'VENTES EXPORT &amp; VINS VINES'!E156+'VENTES EXPORT &amp; VINS VINES'!F156+'VENTES EXPORT &amp; VINS VINES'!G156</f>
        <v>0</v>
      </c>
      <c r="I166" s="66">
        <f t="shared" si="2"/>
        <v>0</v>
      </c>
      <c r="J166" s="97">
        <v>0</v>
      </c>
    </row>
    <row r="167" spans="1:10" x14ac:dyDescent="0.2">
      <c r="A167" s="47"/>
      <c r="B167" s="48"/>
      <c r="C167" s="49"/>
      <c r="D167" s="100"/>
      <c r="E167" s="64"/>
      <c r="F167" s="65"/>
      <c r="G167" s="60">
        <f>'MOUVEMENTS ENTREE'!D158+'MOUVEMENTS ENTREE'!E158+'MOUVEMENTS ENTREE'!F158+'MOUVEMENTS ENTREE'!G158+'MOUVEMENTS ENTREE'!H158+'MOUVEMENTS ENTREE'!I158</f>
        <v>0</v>
      </c>
      <c r="H167" s="66">
        <f>'MVMTS SORTIES &amp; FABRICATIONS'!D158+'MVMTS SORTIES &amp; FABRICATIONS'!E158+'MVMTS SORTIES &amp; FABRICATIONS'!F158+'MVMTS SORTIES &amp; FABRICATIONS'!G158+'MVMTS SORTIES &amp; FABRICATIONS'!H158+'MVMTS SORTIES &amp; FABRICATIONS'!I158+'MVMTS SORTIES &amp; FABRICATIONS'!J158+'VENTES FRANCE'!D158+'VENTES FRANCE'!E158+'VENTES FRANCE'!F158+'VENTES FRANCE'!G158+'VENTES FRANCE'!H158+'VENTES EXPORT &amp; VINS VINES'!D157+'VENTES EXPORT &amp; VINS VINES'!E157+'VENTES EXPORT &amp; VINS VINES'!F157+'VENTES EXPORT &amp; VINS VINES'!G157</f>
        <v>0</v>
      </c>
      <c r="I167" s="66">
        <f t="shared" si="2"/>
        <v>0</v>
      </c>
      <c r="J167" s="97">
        <v>0</v>
      </c>
    </row>
    <row r="168" spans="1:10" x14ac:dyDescent="0.2">
      <c r="A168" s="47"/>
      <c r="B168" s="48"/>
      <c r="C168" s="49"/>
      <c r="D168" s="100"/>
      <c r="E168" s="64"/>
      <c r="F168" s="65"/>
      <c r="G168" s="60">
        <f>'MOUVEMENTS ENTREE'!D159+'MOUVEMENTS ENTREE'!E159+'MOUVEMENTS ENTREE'!F159+'MOUVEMENTS ENTREE'!G159+'MOUVEMENTS ENTREE'!H159+'MOUVEMENTS ENTREE'!I159</f>
        <v>0</v>
      </c>
      <c r="H168" s="66">
        <f>'MVMTS SORTIES &amp; FABRICATIONS'!D159+'MVMTS SORTIES &amp; FABRICATIONS'!E159+'MVMTS SORTIES &amp; FABRICATIONS'!F159+'MVMTS SORTIES &amp; FABRICATIONS'!G159+'MVMTS SORTIES &amp; FABRICATIONS'!H159+'MVMTS SORTIES &amp; FABRICATIONS'!I159+'MVMTS SORTIES &amp; FABRICATIONS'!J159+'VENTES FRANCE'!D159+'VENTES FRANCE'!E159+'VENTES FRANCE'!F159+'VENTES FRANCE'!G159+'VENTES FRANCE'!H159+'VENTES EXPORT &amp; VINS VINES'!D158+'VENTES EXPORT &amp; VINS VINES'!E158+'VENTES EXPORT &amp; VINS VINES'!F158+'VENTES EXPORT &amp; VINS VINES'!G158</f>
        <v>0</v>
      </c>
      <c r="I168" s="66">
        <f t="shared" si="2"/>
        <v>0</v>
      </c>
      <c r="J168" s="97">
        <v>0</v>
      </c>
    </row>
    <row r="169" spans="1:10" x14ac:dyDescent="0.2">
      <c r="A169" s="47"/>
      <c r="B169" s="48"/>
      <c r="C169" s="49"/>
      <c r="D169" s="100"/>
      <c r="E169" s="64"/>
      <c r="F169" s="65"/>
      <c r="G169" s="60">
        <f>'MOUVEMENTS ENTREE'!D160+'MOUVEMENTS ENTREE'!E160+'MOUVEMENTS ENTREE'!F160+'MOUVEMENTS ENTREE'!G160+'MOUVEMENTS ENTREE'!H160+'MOUVEMENTS ENTREE'!I160</f>
        <v>0</v>
      </c>
      <c r="H169" s="66">
        <f>'MVMTS SORTIES &amp; FABRICATIONS'!D160+'MVMTS SORTIES &amp; FABRICATIONS'!E160+'MVMTS SORTIES &amp; FABRICATIONS'!F160+'MVMTS SORTIES &amp; FABRICATIONS'!G160+'MVMTS SORTIES &amp; FABRICATIONS'!H160+'MVMTS SORTIES &amp; FABRICATIONS'!I160+'MVMTS SORTIES &amp; FABRICATIONS'!J160+'VENTES FRANCE'!D160+'VENTES FRANCE'!E160+'VENTES FRANCE'!F160+'VENTES FRANCE'!G160+'VENTES FRANCE'!H160+'VENTES EXPORT &amp; VINS VINES'!D159+'VENTES EXPORT &amp; VINS VINES'!E159+'VENTES EXPORT &amp; VINS VINES'!F159+'VENTES EXPORT &amp; VINS VINES'!G159</f>
        <v>0</v>
      </c>
      <c r="I169" s="66">
        <f t="shared" si="2"/>
        <v>0</v>
      </c>
      <c r="J169" s="97">
        <v>0</v>
      </c>
    </row>
    <row r="170" spans="1:10" x14ac:dyDescent="0.2">
      <c r="A170" s="47"/>
      <c r="B170" s="48"/>
      <c r="C170" s="49"/>
      <c r="D170" s="100"/>
      <c r="E170" s="64"/>
      <c r="F170" s="65"/>
      <c r="G170" s="60">
        <f>'MOUVEMENTS ENTREE'!D161+'MOUVEMENTS ENTREE'!E161+'MOUVEMENTS ENTREE'!F161+'MOUVEMENTS ENTREE'!G161+'MOUVEMENTS ENTREE'!H161+'MOUVEMENTS ENTREE'!I161</f>
        <v>0</v>
      </c>
      <c r="H170" s="66">
        <f>'MVMTS SORTIES &amp; FABRICATIONS'!D161+'MVMTS SORTIES &amp; FABRICATIONS'!E161+'MVMTS SORTIES &amp; FABRICATIONS'!F161+'MVMTS SORTIES &amp; FABRICATIONS'!G161+'MVMTS SORTIES &amp; FABRICATIONS'!H161+'MVMTS SORTIES &amp; FABRICATIONS'!I161+'MVMTS SORTIES &amp; FABRICATIONS'!J161+'VENTES FRANCE'!D161+'VENTES FRANCE'!E161+'VENTES FRANCE'!F161+'VENTES FRANCE'!G161+'VENTES FRANCE'!H161+'VENTES EXPORT &amp; VINS VINES'!D160+'VENTES EXPORT &amp; VINS VINES'!E160+'VENTES EXPORT &amp; VINS VINES'!F160+'VENTES EXPORT &amp; VINS VINES'!G160</f>
        <v>0</v>
      </c>
      <c r="I170" s="66">
        <f t="shared" si="2"/>
        <v>0</v>
      </c>
      <c r="J170" s="97">
        <v>0</v>
      </c>
    </row>
    <row r="171" spans="1:10" x14ac:dyDescent="0.2">
      <c r="A171" s="47"/>
      <c r="B171" s="48"/>
      <c r="C171" s="49"/>
      <c r="D171" s="100"/>
      <c r="E171" s="64"/>
      <c r="F171" s="65"/>
      <c r="G171" s="60">
        <f>'MOUVEMENTS ENTREE'!D162+'MOUVEMENTS ENTREE'!E162+'MOUVEMENTS ENTREE'!F162+'MOUVEMENTS ENTREE'!G162+'MOUVEMENTS ENTREE'!H162+'MOUVEMENTS ENTREE'!I162</f>
        <v>0</v>
      </c>
      <c r="H171" s="66">
        <f>'MVMTS SORTIES &amp; FABRICATIONS'!D162+'MVMTS SORTIES &amp; FABRICATIONS'!E162+'MVMTS SORTIES &amp; FABRICATIONS'!F162+'MVMTS SORTIES &amp; FABRICATIONS'!G162+'MVMTS SORTIES &amp; FABRICATIONS'!H162+'MVMTS SORTIES &amp; FABRICATIONS'!I162+'MVMTS SORTIES &amp; FABRICATIONS'!J162+'VENTES FRANCE'!D162+'VENTES FRANCE'!E162+'VENTES FRANCE'!F162+'VENTES FRANCE'!G162+'VENTES FRANCE'!H162+'VENTES EXPORT &amp; VINS VINES'!D161+'VENTES EXPORT &amp; VINS VINES'!E161+'VENTES EXPORT &amp; VINS VINES'!F161+'VENTES EXPORT &amp; VINS VINES'!G161</f>
        <v>0</v>
      </c>
      <c r="I171" s="66">
        <f t="shared" si="2"/>
        <v>0</v>
      </c>
      <c r="J171" s="97">
        <v>0</v>
      </c>
    </row>
    <row r="172" spans="1:10" x14ac:dyDescent="0.2">
      <c r="A172" s="47"/>
      <c r="B172" s="48"/>
      <c r="C172" s="49"/>
      <c r="D172" s="100"/>
      <c r="E172" s="64"/>
      <c r="F172" s="65"/>
      <c r="G172" s="60">
        <f>'MOUVEMENTS ENTREE'!D163+'MOUVEMENTS ENTREE'!E163+'MOUVEMENTS ENTREE'!F163+'MOUVEMENTS ENTREE'!G163+'MOUVEMENTS ENTREE'!H163+'MOUVEMENTS ENTREE'!I163</f>
        <v>0</v>
      </c>
      <c r="H172" s="66">
        <f>'MVMTS SORTIES &amp; FABRICATIONS'!D163+'MVMTS SORTIES &amp; FABRICATIONS'!E163+'MVMTS SORTIES &amp; FABRICATIONS'!F163+'MVMTS SORTIES &amp; FABRICATIONS'!G163+'MVMTS SORTIES &amp; FABRICATIONS'!H163+'MVMTS SORTIES &amp; FABRICATIONS'!I163+'MVMTS SORTIES &amp; FABRICATIONS'!J163+'VENTES FRANCE'!D163+'VENTES FRANCE'!E163+'VENTES FRANCE'!F163+'VENTES FRANCE'!G163+'VENTES FRANCE'!H163+'VENTES EXPORT &amp; VINS VINES'!D162+'VENTES EXPORT &amp; VINS VINES'!E162+'VENTES EXPORT &amp; VINS VINES'!F162+'VENTES EXPORT &amp; VINS VINES'!G162</f>
        <v>0</v>
      </c>
      <c r="I172" s="66">
        <f t="shared" si="2"/>
        <v>0</v>
      </c>
      <c r="J172" s="97">
        <v>0</v>
      </c>
    </row>
    <row r="173" spans="1:10" x14ac:dyDescent="0.2">
      <c r="A173" s="47"/>
      <c r="B173" s="48"/>
      <c r="C173" s="49"/>
      <c r="D173" s="100"/>
      <c r="E173" s="64"/>
      <c r="F173" s="65"/>
      <c r="G173" s="60">
        <f>'MOUVEMENTS ENTREE'!D164+'MOUVEMENTS ENTREE'!E164+'MOUVEMENTS ENTREE'!F164+'MOUVEMENTS ENTREE'!G164+'MOUVEMENTS ENTREE'!H164+'MOUVEMENTS ENTREE'!I164</f>
        <v>0</v>
      </c>
      <c r="H173" s="66">
        <f>'MVMTS SORTIES &amp; FABRICATIONS'!D164+'MVMTS SORTIES &amp; FABRICATIONS'!E164+'MVMTS SORTIES &amp; FABRICATIONS'!F164+'MVMTS SORTIES &amp; FABRICATIONS'!G164+'MVMTS SORTIES &amp; FABRICATIONS'!H164+'MVMTS SORTIES &amp; FABRICATIONS'!I164+'MVMTS SORTIES &amp; FABRICATIONS'!J164+'VENTES FRANCE'!D164+'VENTES FRANCE'!E164+'VENTES FRANCE'!F164+'VENTES FRANCE'!G164+'VENTES FRANCE'!H164+'VENTES EXPORT &amp; VINS VINES'!D163+'VENTES EXPORT &amp; VINS VINES'!E163+'VENTES EXPORT &amp; VINS VINES'!F163+'VENTES EXPORT &amp; VINS VINES'!G163</f>
        <v>0</v>
      </c>
      <c r="I173" s="66">
        <f t="shared" si="2"/>
        <v>0</v>
      </c>
      <c r="J173" s="97">
        <v>0</v>
      </c>
    </row>
    <row r="174" spans="1:10" x14ac:dyDescent="0.2">
      <c r="A174" s="47"/>
      <c r="B174" s="48"/>
      <c r="C174" s="49"/>
      <c r="D174" s="100"/>
      <c r="E174" s="64"/>
      <c r="F174" s="65"/>
      <c r="G174" s="60">
        <f>'MOUVEMENTS ENTREE'!D165+'MOUVEMENTS ENTREE'!E165+'MOUVEMENTS ENTREE'!F165+'MOUVEMENTS ENTREE'!G165+'MOUVEMENTS ENTREE'!H165+'MOUVEMENTS ENTREE'!I165</f>
        <v>0</v>
      </c>
      <c r="H174" s="66">
        <f>'MVMTS SORTIES &amp; FABRICATIONS'!D165+'MVMTS SORTIES &amp; FABRICATIONS'!E165+'MVMTS SORTIES &amp; FABRICATIONS'!F165+'MVMTS SORTIES &amp; FABRICATIONS'!G165+'MVMTS SORTIES &amp; FABRICATIONS'!H165+'MVMTS SORTIES &amp; FABRICATIONS'!I165+'MVMTS SORTIES &amp; FABRICATIONS'!J165+'VENTES FRANCE'!D165+'VENTES FRANCE'!E165+'VENTES FRANCE'!F165+'VENTES FRANCE'!G165+'VENTES FRANCE'!H165+'VENTES EXPORT &amp; VINS VINES'!D164+'VENTES EXPORT &amp; VINS VINES'!E164+'VENTES EXPORT &amp; VINS VINES'!F164+'VENTES EXPORT &amp; VINS VINES'!G164</f>
        <v>0</v>
      </c>
      <c r="I174" s="66">
        <f t="shared" si="2"/>
        <v>0</v>
      </c>
      <c r="J174" s="97">
        <v>0</v>
      </c>
    </row>
    <row r="175" spans="1:10" x14ac:dyDescent="0.2">
      <c r="A175" s="47"/>
      <c r="B175" s="48"/>
      <c r="C175" s="49"/>
      <c r="D175" s="100"/>
      <c r="E175" s="64"/>
      <c r="F175" s="65"/>
      <c r="G175" s="60">
        <f>'MOUVEMENTS ENTREE'!D166+'MOUVEMENTS ENTREE'!E166+'MOUVEMENTS ENTREE'!F166+'MOUVEMENTS ENTREE'!G166+'MOUVEMENTS ENTREE'!H166+'MOUVEMENTS ENTREE'!I166</f>
        <v>0</v>
      </c>
      <c r="H175" s="66">
        <f>'MVMTS SORTIES &amp; FABRICATIONS'!D166+'MVMTS SORTIES &amp; FABRICATIONS'!E166+'MVMTS SORTIES &amp; FABRICATIONS'!F166+'MVMTS SORTIES &amp; FABRICATIONS'!G166+'MVMTS SORTIES &amp; FABRICATIONS'!H166+'MVMTS SORTIES &amp; FABRICATIONS'!I166+'MVMTS SORTIES &amp; FABRICATIONS'!J166+'VENTES FRANCE'!D166+'VENTES FRANCE'!E166+'VENTES FRANCE'!F166+'VENTES FRANCE'!G166+'VENTES FRANCE'!H166+'VENTES EXPORT &amp; VINS VINES'!D165+'VENTES EXPORT &amp; VINS VINES'!E165+'VENTES EXPORT &amp; VINS VINES'!F165+'VENTES EXPORT &amp; VINS VINES'!G165</f>
        <v>0</v>
      </c>
      <c r="I175" s="66">
        <f t="shared" si="2"/>
        <v>0</v>
      </c>
      <c r="J175" s="97">
        <v>0</v>
      </c>
    </row>
    <row r="176" spans="1:10" x14ac:dyDescent="0.2">
      <c r="A176" s="47"/>
      <c r="B176" s="48"/>
      <c r="C176" s="49"/>
      <c r="D176" s="100"/>
      <c r="E176" s="64"/>
      <c r="F176" s="65"/>
      <c r="G176" s="60">
        <f>'MOUVEMENTS ENTREE'!D167+'MOUVEMENTS ENTREE'!E167+'MOUVEMENTS ENTREE'!F167+'MOUVEMENTS ENTREE'!G167+'MOUVEMENTS ENTREE'!H167+'MOUVEMENTS ENTREE'!I167</f>
        <v>0</v>
      </c>
      <c r="H176" s="66">
        <f>'MVMTS SORTIES &amp; FABRICATIONS'!D167+'MVMTS SORTIES &amp; FABRICATIONS'!E167+'MVMTS SORTIES &amp; FABRICATIONS'!F167+'MVMTS SORTIES &amp; FABRICATIONS'!G167+'MVMTS SORTIES &amp; FABRICATIONS'!H167+'MVMTS SORTIES &amp; FABRICATIONS'!I167+'MVMTS SORTIES &amp; FABRICATIONS'!J167+'VENTES FRANCE'!D167+'VENTES FRANCE'!E167+'VENTES FRANCE'!F167+'VENTES FRANCE'!G167+'VENTES FRANCE'!H167+'VENTES EXPORT &amp; VINS VINES'!D166+'VENTES EXPORT &amp; VINS VINES'!E166+'VENTES EXPORT &amp; VINS VINES'!F166+'VENTES EXPORT &amp; VINS VINES'!G166</f>
        <v>0</v>
      </c>
      <c r="I176" s="66">
        <f t="shared" si="2"/>
        <v>0</v>
      </c>
      <c r="J176" s="97">
        <v>0</v>
      </c>
    </row>
    <row r="177" spans="1:10" x14ac:dyDescent="0.2">
      <c r="A177" s="47"/>
      <c r="B177" s="48"/>
      <c r="C177" s="49"/>
      <c r="D177" s="100"/>
      <c r="E177" s="64"/>
      <c r="F177" s="65"/>
      <c r="G177" s="60">
        <f>'MOUVEMENTS ENTREE'!D168+'MOUVEMENTS ENTREE'!E168+'MOUVEMENTS ENTREE'!F168+'MOUVEMENTS ENTREE'!G168+'MOUVEMENTS ENTREE'!H168+'MOUVEMENTS ENTREE'!I168</f>
        <v>0</v>
      </c>
      <c r="H177" s="66">
        <f>'MVMTS SORTIES &amp; FABRICATIONS'!D168+'MVMTS SORTIES &amp; FABRICATIONS'!E168+'MVMTS SORTIES &amp; FABRICATIONS'!F168+'MVMTS SORTIES &amp; FABRICATIONS'!G168+'MVMTS SORTIES &amp; FABRICATIONS'!H168+'MVMTS SORTIES &amp; FABRICATIONS'!I168+'MVMTS SORTIES &amp; FABRICATIONS'!J168+'VENTES FRANCE'!D168+'VENTES FRANCE'!E168+'VENTES FRANCE'!F168+'VENTES FRANCE'!G168+'VENTES FRANCE'!H168+'VENTES EXPORT &amp; VINS VINES'!D167+'VENTES EXPORT &amp; VINS VINES'!E167+'VENTES EXPORT &amp; VINS VINES'!F167+'VENTES EXPORT &amp; VINS VINES'!G167</f>
        <v>0</v>
      </c>
      <c r="I177" s="66">
        <f t="shared" si="2"/>
        <v>0</v>
      </c>
      <c r="J177" s="97">
        <v>0</v>
      </c>
    </row>
    <row r="178" spans="1:10" x14ac:dyDescent="0.2">
      <c r="A178" s="47"/>
      <c r="B178" s="48"/>
      <c r="C178" s="49"/>
      <c r="D178" s="100"/>
      <c r="E178" s="64"/>
      <c r="F178" s="65"/>
      <c r="G178" s="60">
        <f>'MOUVEMENTS ENTREE'!D169+'MOUVEMENTS ENTREE'!E169+'MOUVEMENTS ENTREE'!F169+'MOUVEMENTS ENTREE'!G169+'MOUVEMENTS ENTREE'!H169+'MOUVEMENTS ENTREE'!I169</f>
        <v>0</v>
      </c>
      <c r="H178" s="66">
        <f>'MVMTS SORTIES &amp; FABRICATIONS'!D169+'MVMTS SORTIES &amp; FABRICATIONS'!E169+'MVMTS SORTIES &amp; FABRICATIONS'!F169+'MVMTS SORTIES &amp; FABRICATIONS'!G169+'MVMTS SORTIES &amp; FABRICATIONS'!H169+'MVMTS SORTIES &amp; FABRICATIONS'!I169+'MVMTS SORTIES &amp; FABRICATIONS'!J169+'VENTES FRANCE'!D169+'VENTES FRANCE'!E169+'VENTES FRANCE'!F169+'VENTES FRANCE'!G169+'VENTES FRANCE'!H169+'VENTES EXPORT &amp; VINS VINES'!D168+'VENTES EXPORT &amp; VINS VINES'!E168+'VENTES EXPORT &amp; VINS VINES'!F168+'VENTES EXPORT &amp; VINS VINES'!G168</f>
        <v>0</v>
      </c>
      <c r="I178" s="66">
        <f t="shared" si="2"/>
        <v>0</v>
      </c>
      <c r="J178" s="97">
        <v>0</v>
      </c>
    </row>
    <row r="179" spans="1:10" x14ac:dyDescent="0.2">
      <c r="A179" s="47"/>
      <c r="B179" s="48"/>
      <c r="C179" s="49"/>
      <c r="D179" s="100"/>
      <c r="E179" s="64"/>
      <c r="F179" s="65"/>
      <c r="G179" s="60">
        <f>'MOUVEMENTS ENTREE'!D170+'MOUVEMENTS ENTREE'!E170+'MOUVEMENTS ENTREE'!F170+'MOUVEMENTS ENTREE'!G170+'MOUVEMENTS ENTREE'!H170+'MOUVEMENTS ENTREE'!I170</f>
        <v>0</v>
      </c>
      <c r="H179" s="66">
        <f>'MVMTS SORTIES &amp; FABRICATIONS'!D170+'MVMTS SORTIES &amp; FABRICATIONS'!E170+'MVMTS SORTIES &amp; FABRICATIONS'!F170+'MVMTS SORTIES &amp; FABRICATIONS'!G170+'MVMTS SORTIES &amp; FABRICATIONS'!H170+'MVMTS SORTIES &amp; FABRICATIONS'!I170+'MVMTS SORTIES &amp; FABRICATIONS'!J170+'VENTES FRANCE'!D170+'VENTES FRANCE'!E170+'VENTES FRANCE'!F170+'VENTES FRANCE'!G170+'VENTES FRANCE'!H170+'VENTES EXPORT &amp; VINS VINES'!D169+'VENTES EXPORT &amp; VINS VINES'!E169+'VENTES EXPORT &amp; VINS VINES'!F169+'VENTES EXPORT &amp; VINS VINES'!G169</f>
        <v>0</v>
      </c>
      <c r="I179" s="66">
        <f t="shared" si="2"/>
        <v>0</v>
      </c>
      <c r="J179" s="97">
        <v>0</v>
      </c>
    </row>
    <row r="180" spans="1:10" x14ac:dyDescent="0.2">
      <c r="A180" s="47"/>
      <c r="B180" s="48"/>
      <c r="C180" s="49"/>
      <c r="D180" s="100"/>
      <c r="E180" s="64"/>
      <c r="F180" s="65"/>
      <c r="G180" s="60">
        <f>'MOUVEMENTS ENTREE'!D171+'MOUVEMENTS ENTREE'!E171+'MOUVEMENTS ENTREE'!F171+'MOUVEMENTS ENTREE'!G171+'MOUVEMENTS ENTREE'!H171+'MOUVEMENTS ENTREE'!I171</f>
        <v>0</v>
      </c>
      <c r="H180" s="66">
        <f>'MVMTS SORTIES &amp; FABRICATIONS'!D171+'MVMTS SORTIES &amp; FABRICATIONS'!E171+'MVMTS SORTIES &amp; FABRICATIONS'!F171+'MVMTS SORTIES &amp; FABRICATIONS'!G171+'MVMTS SORTIES &amp; FABRICATIONS'!H171+'MVMTS SORTIES &amp; FABRICATIONS'!I171+'MVMTS SORTIES &amp; FABRICATIONS'!J171+'VENTES FRANCE'!D171+'VENTES FRANCE'!E171+'VENTES FRANCE'!F171+'VENTES FRANCE'!G171+'VENTES FRANCE'!H171+'VENTES EXPORT &amp; VINS VINES'!D170+'VENTES EXPORT &amp; VINS VINES'!E170+'VENTES EXPORT &amp; VINS VINES'!F170+'VENTES EXPORT &amp; VINS VINES'!G170</f>
        <v>0</v>
      </c>
      <c r="I180" s="66">
        <f t="shared" si="2"/>
        <v>0</v>
      </c>
      <c r="J180" s="97">
        <v>0</v>
      </c>
    </row>
    <row r="181" spans="1:10" x14ac:dyDescent="0.2">
      <c r="A181" s="47"/>
      <c r="B181" s="48"/>
      <c r="C181" s="49"/>
      <c r="D181" s="100"/>
      <c r="E181" s="64"/>
      <c r="F181" s="65"/>
      <c r="G181" s="60">
        <f>'MOUVEMENTS ENTREE'!D172+'MOUVEMENTS ENTREE'!E172+'MOUVEMENTS ENTREE'!F172+'MOUVEMENTS ENTREE'!G172+'MOUVEMENTS ENTREE'!H172+'MOUVEMENTS ENTREE'!I172</f>
        <v>0</v>
      </c>
      <c r="H181" s="66">
        <f>'MVMTS SORTIES &amp; FABRICATIONS'!D172+'MVMTS SORTIES &amp; FABRICATIONS'!E172+'MVMTS SORTIES &amp; FABRICATIONS'!F172+'MVMTS SORTIES &amp; FABRICATIONS'!G172+'MVMTS SORTIES &amp; FABRICATIONS'!H172+'MVMTS SORTIES &amp; FABRICATIONS'!I172+'MVMTS SORTIES &amp; FABRICATIONS'!J172+'VENTES FRANCE'!D172+'VENTES FRANCE'!E172+'VENTES FRANCE'!F172+'VENTES FRANCE'!G172+'VENTES FRANCE'!H172+'VENTES EXPORT &amp; VINS VINES'!D171+'VENTES EXPORT &amp; VINS VINES'!E171+'VENTES EXPORT &amp; VINS VINES'!F171+'VENTES EXPORT &amp; VINS VINES'!G171</f>
        <v>0</v>
      </c>
      <c r="I181" s="66">
        <f t="shared" si="2"/>
        <v>0</v>
      </c>
      <c r="J181" s="97">
        <v>0</v>
      </c>
    </row>
    <row r="182" spans="1:10" x14ac:dyDescent="0.2">
      <c r="A182" s="47"/>
      <c r="B182" s="48"/>
      <c r="C182" s="49"/>
      <c r="D182" s="100"/>
      <c r="E182" s="64"/>
      <c r="F182" s="65"/>
      <c r="G182" s="60">
        <f>'MOUVEMENTS ENTREE'!D173+'MOUVEMENTS ENTREE'!E173+'MOUVEMENTS ENTREE'!F173+'MOUVEMENTS ENTREE'!G173+'MOUVEMENTS ENTREE'!H173+'MOUVEMENTS ENTREE'!I173</f>
        <v>0</v>
      </c>
      <c r="H182" s="66">
        <f>'MVMTS SORTIES &amp; FABRICATIONS'!D173+'MVMTS SORTIES &amp; FABRICATIONS'!E173+'MVMTS SORTIES &amp; FABRICATIONS'!F173+'MVMTS SORTIES &amp; FABRICATIONS'!G173+'MVMTS SORTIES &amp; FABRICATIONS'!H173+'MVMTS SORTIES &amp; FABRICATIONS'!I173+'MVMTS SORTIES &amp; FABRICATIONS'!J173+'VENTES FRANCE'!D173+'VENTES FRANCE'!E173+'VENTES FRANCE'!F173+'VENTES FRANCE'!G173+'VENTES FRANCE'!H173+'VENTES EXPORT &amp; VINS VINES'!D172+'VENTES EXPORT &amp; VINS VINES'!E172+'VENTES EXPORT &amp; VINS VINES'!F172+'VENTES EXPORT &amp; VINS VINES'!G172</f>
        <v>0</v>
      </c>
      <c r="I182" s="66">
        <f t="shared" si="2"/>
        <v>0</v>
      </c>
      <c r="J182" s="97">
        <v>0</v>
      </c>
    </row>
    <row r="183" spans="1:10" x14ac:dyDescent="0.2">
      <c r="A183" s="47"/>
      <c r="B183" s="48"/>
      <c r="C183" s="49"/>
      <c r="D183" s="100"/>
      <c r="E183" s="64"/>
      <c r="F183" s="65"/>
      <c r="G183" s="60">
        <f>'MOUVEMENTS ENTREE'!D174+'MOUVEMENTS ENTREE'!E174+'MOUVEMENTS ENTREE'!F174+'MOUVEMENTS ENTREE'!G174+'MOUVEMENTS ENTREE'!H174+'MOUVEMENTS ENTREE'!I174</f>
        <v>0</v>
      </c>
      <c r="H183" s="66">
        <f>'MVMTS SORTIES &amp; FABRICATIONS'!D174+'MVMTS SORTIES &amp; FABRICATIONS'!E174+'MVMTS SORTIES &amp; FABRICATIONS'!F174+'MVMTS SORTIES &amp; FABRICATIONS'!G174+'MVMTS SORTIES &amp; FABRICATIONS'!H174+'MVMTS SORTIES &amp; FABRICATIONS'!I174+'MVMTS SORTIES &amp; FABRICATIONS'!J174+'VENTES FRANCE'!D174+'VENTES FRANCE'!E174+'VENTES FRANCE'!F174+'VENTES FRANCE'!G174+'VENTES FRANCE'!H174+'VENTES EXPORT &amp; VINS VINES'!D173+'VENTES EXPORT &amp; VINS VINES'!E173+'VENTES EXPORT &amp; VINS VINES'!F173+'VENTES EXPORT &amp; VINS VINES'!G173</f>
        <v>0</v>
      </c>
      <c r="I183" s="66">
        <f t="shared" si="2"/>
        <v>0</v>
      </c>
      <c r="J183" s="97">
        <v>0</v>
      </c>
    </row>
    <row r="184" spans="1:10" x14ac:dyDescent="0.2">
      <c r="A184" s="47"/>
      <c r="B184" s="48"/>
      <c r="C184" s="49"/>
      <c r="D184" s="100"/>
      <c r="E184" s="64"/>
      <c r="F184" s="65"/>
      <c r="G184" s="60">
        <f>'MOUVEMENTS ENTREE'!D175+'MOUVEMENTS ENTREE'!E175+'MOUVEMENTS ENTREE'!F175+'MOUVEMENTS ENTREE'!G175+'MOUVEMENTS ENTREE'!H175+'MOUVEMENTS ENTREE'!I175</f>
        <v>0</v>
      </c>
      <c r="H184" s="66">
        <f>'MVMTS SORTIES &amp; FABRICATIONS'!D175+'MVMTS SORTIES &amp; FABRICATIONS'!E175+'MVMTS SORTIES &amp; FABRICATIONS'!F175+'MVMTS SORTIES &amp; FABRICATIONS'!G175+'MVMTS SORTIES &amp; FABRICATIONS'!H175+'MVMTS SORTIES &amp; FABRICATIONS'!I175+'MVMTS SORTIES &amp; FABRICATIONS'!J175+'VENTES FRANCE'!D175+'VENTES FRANCE'!E175+'VENTES FRANCE'!F175+'VENTES FRANCE'!G175+'VENTES FRANCE'!H175+'VENTES EXPORT &amp; VINS VINES'!D174+'VENTES EXPORT &amp; VINS VINES'!E174+'VENTES EXPORT &amp; VINS VINES'!F174+'VENTES EXPORT &amp; VINS VINES'!G174</f>
        <v>0</v>
      </c>
      <c r="I184" s="66">
        <f t="shared" si="2"/>
        <v>0</v>
      </c>
      <c r="J184" s="97">
        <v>0</v>
      </c>
    </row>
    <row r="185" spans="1:10" x14ac:dyDescent="0.2">
      <c r="A185" s="47"/>
      <c r="B185" s="48"/>
      <c r="C185" s="49"/>
      <c r="D185" s="100"/>
      <c r="E185" s="64"/>
      <c r="F185" s="65"/>
      <c r="G185" s="60">
        <f>'MOUVEMENTS ENTREE'!D176+'MOUVEMENTS ENTREE'!E176+'MOUVEMENTS ENTREE'!F176+'MOUVEMENTS ENTREE'!G176+'MOUVEMENTS ENTREE'!H176+'MOUVEMENTS ENTREE'!I176</f>
        <v>0</v>
      </c>
      <c r="H185" s="66">
        <f>'MVMTS SORTIES &amp; FABRICATIONS'!D176+'MVMTS SORTIES &amp; FABRICATIONS'!E176+'MVMTS SORTIES &amp; FABRICATIONS'!F176+'MVMTS SORTIES &amp; FABRICATIONS'!G176+'MVMTS SORTIES &amp; FABRICATIONS'!H176+'MVMTS SORTIES &amp; FABRICATIONS'!I176+'MVMTS SORTIES &amp; FABRICATIONS'!J176+'VENTES FRANCE'!D176+'VENTES FRANCE'!E176+'VENTES FRANCE'!F176+'VENTES FRANCE'!G176+'VENTES FRANCE'!H176+'VENTES EXPORT &amp; VINS VINES'!D175+'VENTES EXPORT &amp; VINS VINES'!E175+'VENTES EXPORT &amp; VINS VINES'!F175+'VENTES EXPORT &amp; VINS VINES'!G175</f>
        <v>0</v>
      </c>
      <c r="I185" s="66">
        <f t="shared" si="2"/>
        <v>0</v>
      </c>
      <c r="J185" s="97">
        <v>0</v>
      </c>
    </row>
    <row r="186" spans="1:10" x14ac:dyDescent="0.2">
      <c r="A186" s="47"/>
      <c r="B186" s="48"/>
      <c r="C186" s="49"/>
      <c r="D186" s="100"/>
      <c r="E186" s="64"/>
      <c r="F186" s="65"/>
      <c r="G186" s="60">
        <f>'MOUVEMENTS ENTREE'!D177+'MOUVEMENTS ENTREE'!E177+'MOUVEMENTS ENTREE'!F177+'MOUVEMENTS ENTREE'!G177+'MOUVEMENTS ENTREE'!H177+'MOUVEMENTS ENTREE'!I177</f>
        <v>0</v>
      </c>
      <c r="H186" s="66">
        <f>'MVMTS SORTIES &amp; FABRICATIONS'!D177+'MVMTS SORTIES &amp; FABRICATIONS'!E177+'MVMTS SORTIES &amp; FABRICATIONS'!F177+'MVMTS SORTIES &amp; FABRICATIONS'!G177+'MVMTS SORTIES &amp; FABRICATIONS'!H177+'MVMTS SORTIES &amp; FABRICATIONS'!I177+'MVMTS SORTIES &amp; FABRICATIONS'!J177+'VENTES FRANCE'!D177+'VENTES FRANCE'!E177+'VENTES FRANCE'!F177+'VENTES FRANCE'!G177+'VENTES FRANCE'!H177+'VENTES EXPORT &amp; VINS VINES'!D176+'VENTES EXPORT &amp; VINS VINES'!E176+'VENTES EXPORT &amp; VINS VINES'!F176+'VENTES EXPORT &amp; VINS VINES'!G176</f>
        <v>0</v>
      </c>
      <c r="I186" s="66">
        <f t="shared" si="2"/>
        <v>0</v>
      </c>
      <c r="J186" s="97">
        <v>0</v>
      </c>
    </row>
    <row r="187" spans="1:10" x14ac:dyDescent="0.2">
      <c r="A187" s="47"/>
      <c r="B187" s="48"/>
      <c r="C187" s="49"/>
      <c r="D187" s="100"/>
      <c r="E187" s="64"/>
      <c r="F187" s="65"/>
      <c r="G187" s="60">
        <f>'MOUVEMENTS ENTREE'!D178+'MOUVEMENTS ENTREE'!E178+'MOUVEMENTS ENTREE'!F178+'MOUVEMENTS ENTREE'!G178+'MOUVEMENTS ENTREE'!H178+'MOUVEMENTS ENTREE'!I178</f>
        <v>0</v>
      </c>
      <c r="H187" s="66">
        <f>'MVMTS SORTIES &amp; FABRICATIONS'!D178+'MVMTS SORTIES &amp; FABRICATIONS'!E178+'MVMTS SORTIES &amp; FABRICATIONS'!F178+'MVMTS SORTIES &amp; FABRICATIONS'!G178+'MVMTS SORTIES &amp; FABRICATIONS'!H178+'MVMTS SORTIES &amp; FABRICATIONS'!I178+'MVMTS SORTIES &amp; FABRICATIONS'!J178+'VENTES FRANCE'!D178+'VENTES FRANCE'!E178+'VENTES FRANCE'!F178+'VENTES FRANCE'!G178+'VENTES FRANCE'!H178+'VENTES EXPORT &amp; VINS VINES'!D177+'VENTES EXPORT &amp; VINS VINES'!E177+'VENTES EXPORT &amp; VINS VINES'!F177+'VENTES EXPORT &amp; VINS VINES'!G177</f>
        <v>0</v>
      </c>
      <c r="I187" s="66">
        <f t="shared" si="2"/>
        <v>0</v>
      </c>
      <c r="J187" s="97">
        <v>0</v>
      </c>
    </row>
    <row r="188" spans="1:10" x14ac:dyDescent="0.2">
      <c r="A188" s="47"/>
      <c r="B188" s="48"/>
      <c r="C188" s="49"/>
      <c r="D188" s="100"/>
      <c r="E188" s="64"/>
      <c r="F188" s="65"/>
      <c r="G188" s="60">
        <f>'MOUVEMENTS ENTREE'!D179+'MOUVEMENTS ENTREE'!E179+'MOUVEMENTS ENTREE'!F179+'MOUVEMENTS ENTREE'!G179+'MOUVEMENTS ENTREE'!H179+'MOUVEMENTS ENTREE'!I179</f>
        <v>0</v>
      </c>
      <c r="H188" s="66">
        <f>'MVMTS SORTIES &amp; FABRICATIONS'!D179+'MVMTS SORTIES &amp; FABRICATIONS'!E179+'MVMTS SORTIES &amp; FABRICATIONS'!F179+'MVMTS SORTIES &amp; FABRICATIONS'!G179+'MVMTS SORTIES &amp; FABRICATIONS'!H179+'MVMTS SORTIES &amp; FABRICATIONS'!I179+'MVMTS SORTIES &amp; FABRICATIONS'!J179+'VENTES FRANCE'!D179+'VENTES FRANCE'!E179+'VENTES FRANCE'!F179+'VENTES FRANCE'!G179+'VENTES FRANCE'!H179+'VENTES EXPORT &amp; VINS VINES'!D178+'VENTES EXPORT &amp; VINS VINES'!E178+'VENTES EXPORT &amp; VINS VINES'!F178+'VENTES EXPORT &amp; VINS VINES'!G178</f>
        <v>0</v>
      </c>
      <c r="I188" s="66">
        <f t="shared" si="2"/>
        <v>0</v>
      </c>
      <c r="J188" s="97">
        <v>0</v>
      </c>
    </row>
    <row r="189" spans="1:10" x14ac:dyDescent="0.2">
      <c r="A189" s="47"/>
      <c r="B189" s="48"/>
      <c r="C189" s="49"/>
      <c r="D189" s="100"/>
      <c r="E189" s="64"/>
      <c r="F189" s="65"/>
      <c r="G189" s="60">
        <f>'MOUVEMENTS ENTREE'!D180+'MOUVEMENTS ENTREE'!E180+'MOUVEMENTS ENTREE'!F180+'MOUVEMENTS ENTREE'!G180+'MOUVEMENTS ENTREE'!H180+'MOUVEMENTS ENTREE'!I180</f>
        <v>0</v>
      </c>
      <c r="H189" s="66">
        <f>'MVMTS SORTIES &amp; FABRICATIONS'!D180+'MVMTS SORTIES &amp; FABRICATIONS'!E180+'MVMTS SORTIES &amp; FABRICATIONS'!F180+'MVMTS SORTIES &amp; FABRICATIONS'!G180+'MVMTS SORTIES &amp; FABRICATIONS'!H180+'MVMTS SORTIES &amp; FABRICATIONS'!I180+'MVMTS SORTIES &amp; FABRICATIONS'!J180+'VENTES FRANCE'!D180+'VENTES FRANCE'!E180+'VENTES FRANCE'!F180+'VENTES FRANCE'!G180+'VENTES FRANCE'!H180+'VENTES EXPORT &amp; VINS VINES'!D179+'VENTES EXPORT &amp; VINS VINES'!E179+'VENTES EXPORT &amp; VINS VINES'!F179+'VENTES EXPORT &amp; VINS VINES'!G179</f>
        <v>0</v>
      </c>
      <c r="I189" s="66">
        <f t="shared" si="2"/>
        <v>0</v>
      </c>
      <c r="J189" s="97">
        <v>0</v>
      </c>
    </row>
    <row r="190" spans="1:10" x14ac:dyDescent="0.2">
      <c r="A190" s="47"/>
      <c r="B190" s="48"/>
      <c r="C190" s="49"/>
      <c r="D190" s="100"/>
      <c r="E190" s="64"/>
      <c r="F190" s="65"/>
      <c r="G190" s="60">
        <f>'MOUVEMENTS ENTREE'!D181+'MOUVEMENTS ENTREE'!E181+'MOUVEMENTS ENTREE'!F181+'MOUVEMENTS ENTREE'!G181+'MOUVEMENTS ENTREE'!H181+'MOUVEMENTS ENTREE'!I181</f>
        <v>0</v>
      </c>
      <c r="H190" s="66">
        <f>'MVMTS SORTIES &amp; FABRICATIONS'!D181+'MVMTS SORTIES &amp; FABRICATIONS'!E181+'MVMTS SORTIES &amp; FABRICATIONS'!F181+'MVMTS SORTIES &amp; FABRICATIONS'!G181+'MVMTS SORTIES &amp; FABRICATIONS'!H181+'MVMTS SORTIES &amp; FABRICATIONS'!I181+'MVMTS SORTIES &amp; FABRICATIONS'!J181+'VENTES FRANCE'!D181+'VENTES FRANCE'!E181+'VENTES FRANCE'!F181+'VENTES FRANCE'!G181+'VENTES FRANCE'!H181+'VENTES EXPORT &amp; VINS VINES'!D180+'VENTES EXPORT &amp; VINS VINES'!E180+'VENTES EXPORT &amp; VINS VINES'!F180+'VENTES EXPORT &amp; VINS VINES'!G180</f>
        <v>0</v>
      </c>
      <c r="I190" s="66">
        <f t="shared" si="2"/>
        <v>0</v>
      </c>
      <c r="J190" s="97">
        <v>0</v>
      </c>
    </row>
    <row r="191" spans="1:10" x14ac:dyDescent="0.2">
      <c r="A191" s="47"/>
      <c r="B191" s="48"/>
      <c r="C191" s="49"/>
      <c r="D191" s="100"/>
      <c r="E191" s="64"/>
      <c r="F191" s="65"/>
      <c r="G191" s="60">
        <f>'MOUVEMENTS ENTREE'!D182+'MOUVEMENTS ENTREE'!E182+'MOUVEMENTS ENTREE'!F182+'MOUVEMENTS ENTREE'!G182+'MOUVEMENTS ENTREE'!H182+'MOUVEMENTS ENTREE'!I182</f>
        <v>0</v>
      </c>
      <c r="H191" s="66">
        <f>'MVMTS SORTIES &amp; FABRICATIONS'!D182+'MVMTS SORTIES &amp; FABRICATIONS'!E182+'MVMTS SORTIES &amp; FABRICATIONS'!F182+'MVMTS SORTIES &amp; FABRICATIONS'!G182+'MVMTS SORTIES &amp; FABRICATIONS'!H182+'MVMTS SORTIES &amp; FABRICATIONS'!I182+'MVMTS SORTIES &amp; FABRICATIONS'!J182+'VENTES FRANCE'!D182+'VENTES FRANCE'!E182+'VENTES FRANCE'!F182+'VENTES FRANCE'!G182+'VENTES FRANCE'!H182+'VENTES EXPORT &amp; VINS VINES'!D181+'VENTES EXPORT &amp; VINS VINES'!E181+'VENTES EXPORT &amp; VINS VINES'!F181+'VENTES EXPORT &amp; VINS VINES'!G181</f>
        <v>0</v>
      </c>
      <c r="I191" s="66">
        <f t="shared" si="2"/>
        <v>0</v>
      </c>
      <c r="J191" s="97">
        <v>0</v>
      </c>
    </row>
    <row r="192" spans="1:10" x14ac:dyDescent="0.2">
      <c r="A192" s="47"/>
      <c r="B192" s="48"/>
      <c r="C192" s="49"/>
      <c r="D192" s="100"/>
      <c r="E192" s="64"/>
      <c r="F192" s="65"/>
      <c r="G192" s="60">
        <f>'MOUVEMENTS ENTREE'!D183+'MOUVEMENTS ENTREE'!E183+'MOUVEMENTS ENTREE'!F183+'MOUVEMENTS ENTREE'!G183+'MOUVEMENTS ENTREE'!H183+'MOUVEMENTS ENTREE'!I183</f>
        <v>0</v>
      </c>
      <c r="H192" s="66">
        <f>'MVMTS SORTIES &amp; FABRICATIONS'!D183+'MVMTS SORTIES &amp; FABRICATIONS'!E183+'MVMTS SORTIES &amp; FABRICATIONS'!F183+'MVMTS SORTIES &amp; FABRICATIONS'!G183+'MVMTS SORTIES &amp; FABRICATIONS'!H183+'MVMTS SORTIES &amp; FABRICATIONS'!I183+'MVMTS SORTIES &amp; FABRICATIONS'!J183+'VENTES FRANCE'!D183+'VENTES FRANCE'!E183+'VENTES FRANCE'!F183+'VENTES FRANCE'!G183+'VENTES FRANCE'!H183+'VENTES EXPORT &amp; VINS VINES'!D182+'VENTES EXPORT &amp; VINS VINES'!E182+'VENTES EXPORT &amp; VINS VINES'!F182+'VENTES EXPORT &amp; VINS VINES'!G182</f>
        <v>0</v>
      </c>
      <c r="I192" s="66">
        <f t="shared" si="2"/>
        <v>0</v>
      </c>
      <c r="J192" s="97">
        <v>0</v>
      </c>
    </row>
    <row r="193" spans="1:10" x14ac:dyDescent="0.2">
      <c r="A193" s="47"/>
      <c r="B193" s="48"/>
      <c r="C193" s="49"/>
      <c r="D193" s="100"/>
      <c r="E193" s="64"/>
      <c r="F193" s="65"/>
      <c r="G193" s="60">
        <f>'MOUVEMENTS ENTREE'!D184+'MOUVEMENTS ENTREE'!E184+'MOUVEMENTS ENTREE'!F184+'MOUVEMENTS ENTREE'!G184+'MOUVEMENTS ENTREE'!H184+'MOUVEMENTS ENTREE'!I184</f>
        <v>0</v>
      </c>
      <c r="H193" s="66">
        <f>'MVMTS SORTIES &amp; FABRICATIONS'!D184+'MVMTS SORTIES &amp; FABRICATIONS'!E184+'MVMTS SORTIES &amp; FABRICATIONS'!F184+'MVMTS SORTIES &amp; FABRICATIONS'!G184+'MVMTS SORTIES &amp; FABRICATIONS'!H184+'MVMTS SORTIES &amp; FABRICATIONS'!I184+'MVMTS SORTIES &amp; FABRICATIONS'!J184+'VENTES FRANCE'!D184+'VENTES FRANCE'!E184+'VENTES FRANCE'!F184+'VENTES FRANCE'!G184+'VENTES FRANCE'!H184+'VENTES EXPORT &amp; VINS VINES'!D183+'VENTES EXPORT &amp; VINS VINES'!E183+'VENTES EXPORT &amp; VINS VINES'!F183+'VENTES EXPORT &amp; VINS VINES'!G183</f>
        <v>0</v>
      </c>
      <c r="I193" s="66">
        <f t="shared" si="2"/>
        <v>0</v>
      </c>
      <c r="J193" s="97">
        <v>0</v>
      </c>
    </row>
    <row r="194" spans="1:10" x14ac:dyDescent="0.2">
      <c r="A194" s="47"/>
      <c r="B194" s="48"/>
      <c r="C194" s="49"/>
      <c r="D194" s="100"/>
      <c r="E194" s="64"/>
      <c r="F194" s="65"/>
      <c r="G194" s="60">
        <f>'MOUVEMENTS ENTREE'!D185+'MOUVEMENTS ENTREE'!E185+'MOUVEMENTS ENTREE'!F185+'MOUVEMENTS ENTREE'!G185+'MOUVEMENTS ENTREE'!H185+'MOUVEMENTS ENTREE'!I185</f>
        <v>0</v>
      </c>
      <c r="H194" s="66">
        <f>'MVMTS SORTIES &amp; FABRICATIONS'!D185+'MVMTS SORTIES &amp; FABRICATIONS'!E185+'MVMTS SORTIES &amp; FABRICATIONS'!F185+'MVMTS SORTIES &amp; FABRICATIONS'!G185+'MVMTS SORTIES &amp; FABRICATIONS'!H185+'MVMTS SORTIES &amp; FABRICATIONS'!I185+'MVMTS SORTIES &amp; FABRICATIONS'!J185+'VENTES FRANCE'!D185+'VENTES FRANCE'!E185+'VENTES FRANCE'!F185+'VENTES FRANCE'!G185+'VENTES FRANCE'!H185+'VENTES EXPORT &amp; VINS VINES'!D184+'VENTES EXPORT &amp; VINS VINES'!E184+'VENTES EXPORT &amp; VINS VINES'!F184+'VENTES EXPORT &amp; VINS VINES'!G184</f>
        <v>0</v>
      </c>
      <c r="I194" s="66">
        <f t="shared" si="2"/>
        <v>0</v>
      </c>
      <c r="J194" s="97">
        <v>0</v>
      </c>
    </row>
    <row r="195" spans="1:10" x14ac:dyDescent="0.2">
      <c r="A195" s="47"/>
      <c r="B195" s="48"/>
      <c r="C195" s="49"/>
      <c r="D195" s="100"/>
      <c r="E195" s="64"/>
      <c r="F195" s="65"/>
      <c r="G195" s="60">
        <f>'MOUVEMENTS ENTREE'!D186+'MOUVEMENTS ENTREE'!E186+'MOUVEMENTS ENTREE'!F186+'MOUVEMENTS ENTREE'!G186+'MOUVEMENTS ENTREE'!H186+'MOUVEMENTS ENTREE'!I186</f>
        <v>0</v>
      </c>
      <c r="H195" s="66">
        <f>'MVMTS SORTIES &amp; FABRICATIONS'!D186+'MVMTS SORTIES &amp; FABRICATIONS'!E186+'MVMTS SORTIES &amp; FABRICATIONS'!F186+'MVMTS SORTIES &amp; FABRICATIONS'!G186+'MVMTS SORTIES &amp; FABRICATIONS'!H186+'MVMTS SORTIES &amp; FABRICATIONS'!I186+'MVMTS SORTIES &amp; FABRICATIONS'!J186+'VENTES FRANCE'!D186+'VENTES FRANCE'!E186+'VENTES FRANCE'!F186+'VENTES FRANCE'!G186+'VENTES FRANCE'!H186+'VENTES EXPORT &amp; VINS VINES'!D185+'VENTES EXPORT &amp; VINS VINES'!E185+'VENTES EXPORT &amp; VINS VINES'!F185+'VENTES EXPORT &amp; VINS VINES'!G185</f>
        <v>0</v>
      </c>
      <c r="I195" s="66">
        <f t="shared" si="2"/>
        <v>0</v>
      </c>
      <c r="J195" s="97">
        <v>0</v>
      </c>
    </row>
    <row r="196" spans="1:10" x14ac:dyDescent="0.2">
      <c r="A196" s="47"/>
      <c r="B196" s="48"/>
      <c r="C196" s="49"/>
      <c r="D196" s="100"/>
      <c r="E196" s="64"/>
      <c r="F196" s="65"/>
      <c r="G196" s="60">
        <f>'MOUVEMENTS ENTREE'!D187+'MOUVEMENTS ENTREE'!E187+'MOUVEMENTS ENTREE'!F187+'MOUVEMENTS ENTREE'!G187+'MOUVEMENTS ENTREE'!H187+'MOUVEMENTS ENTREE'!I187</f>
        <v>0</v>
      </c>
      <c r="H196" s="66">
        <f>'MVMTS SORTIES &amp; FABRICATIONS'!D187+'MVMTS SORTIES &amp; FABRICATIONS'!E187+'MVMTS SORTIES &amp; FABRICATIONS'!F187+'MVMTS SORTIES &amp; FABRICATIONS'!G187+'MVMTS SORTIES &amp; FABRICATIONS'!H187+'MVMTS SORTIES &amp; FABRICATIONS'!I187+'MVMTS SORTIES &amp; FABRICATIONS'!J187+'VENTES FRANCE'!D187+'VENTES FRANCE'!E187+'VENTES FRANCE'!F187+'VENTES FRANCE'!G187+'VENTES FRANCE'!H187+'VENTES EXPORT &amp; VINS VINES'!D186+'VENTES EXPORT &amp; VINS VINES'!E186+'VENTES EXPORT &amp; VINS VINES'!F186+'VENTES EXPORT &amp; VINS VINES'!G186</f>
        <v>0</v>
      </c>
      <c r="I196" s="66">
        <f t="shared" si="2"/>
        <v>0</v>
      </c>
      <c r="J196" s="97">
        <v>0</v>
      </c>
    </row>
    <row r="197" spans="1:10" x14ac:dyDescent="0.2">
      <c r="A197" s="47"/>
      <c r="B197" s="48"/>
      <c r="C197" s="49"/>
      <c r="D197" s="100"/>
      <c r="E197" s="64"/>
      <c r="F197" s="65"/>
      <c r="G197" s="60">
        <f>'MOUVEMENTS ENTREE'!D188+'MOUVEMENTS ENTREE'!E188+'MOUVEMENTS ENTREE'!F188+'MOUVEMENTS ENTREE'!G188+'MOUVEMENTS ENTREE'!H188+'MOUVEMENTS ENTREE'!I188</f>
        <v>0</v>
      </c>
      <c r="H197" s="66">
        <f>'MVMTS SORTIES &amp; FABRICATIONS'!D188+'MVMTS SORTIES &amp; FABRICATIONS'!E188+'MVMTS SORTIES &amp; FABRICATIONS'!F188+'MVMTS SORTIES &amp; FABRICATIONS'!G188+'MVMTS SORTIES &amp; FABRICATIONS'!H188+'MVMTS SORTIES &amp; FABRICATIONS'!I188+'MVMTS SORTIES &amp; FABRICATIONS'!J188+'VENTES FRANCE'!D188+'VENTES FRANCE'!E188+'VENTES FRANCE'!F188+'VENTES FRANCE'!G188+'VENTES FRANCE'!H188+'VENTES EXPORT &amp; VINS VINES'!D187+'VENTES EXPORT &amp; VINS VINES'!E187+'VENTES EXPORT &amp; VINS VINES'!F187+'VENTES EXPORT &amp; VINS VINES'!G187</f>
        <v>0</v>
      </c>
      <c r="I197" s="66">
        <f t="shared" si="2"/>
        <v>0</v>
      </c>
      <c r="J197" s="97">
        <v>0</v>
      </c>
    </row>
    <row r="198" spans="1:10" x14ac:dyDescent="0.2">
      <c r="A198" s="47"/>
      <c r="B198" s="48"/>
      <c r="C198" s="49"/>
      <c r="D198" s="100"/>
      <c r="E198" s="64"/>
      <c r="F198" s="65"/>
      <c r="G198" s="60">
        <f>'MOUVEMENTS ENTREE'!D189+'MOUVEMENTS ENTREE'!E189+'MOUVEMENTS ENTREE'!F189+'MOUVEMENTS ENTREE'!G189+'MOUVEMENTS ENTREE'!H189+'MOUVEMENTS ENTREE'!I189</f>
        <v>0</v>
      </c>
      <c r="H198" s="66">
        <f>'MVMTS SORTIES &amp; FABRICATIONS'!D189+'MVMTS SORTIES &amp; FABRICATIONS'!E189+'MVMTS SORTIES &amp; FABRICATIONS'!F189+'MVMTS SORTIES &amp; FABRICATIONS'!G189+'MVMTS SORTIES &amp; FABRICATIONS'!H189+'MVMTS SORTIES &amp; FABRICATIONS'!I189+'MVMTS SORTIES &amp; FABRICATIONS'!J189+'VENTES FRANCE'!D189+'VENTES FRANCE'!E189+'VENTES FRANCE'!F189+'VENTES FRANCE'!G189+'VENTES FRANCE'!H189+'VENTES EXPORT &amp; VINS VINES'!D188+'VENTES EXPORT &amp; VINS VINES'!E188+'VENTES EXPORT &amp; VINS VINES'!F188+'VENTES EXPORT &amp; VINS VINES'!G188</f>
        <v>0</v>
      </c>
      <c r="I198" s="66">
        <f t="shared" si="2"/>
        <v>0</v>
      </c>
      <c r="J198" s="97">
        <v>0</v>
      </c>
    </row>
    <row r="199" spans="1:10" x14ac:dyDescent="0.2">
      <c r="A199" s="47"/>
      <c r="B199" s="48"/>
      <c r="C199" s="49"/>
      <c r="D199" s="100"/>
      <c r="E199" s="64"/>
      <c r="F199" s="65"/>
      <c r="G199" s="60">
        <f>'MOUVEMENTS ENTREE'!D190+'MOUVEMENTS ENTREE'!E190+'MOUVEMENTS ENTREE'!F190+'MOUVEMENTS ENTREE'!G190+'MOUVEMENTS ENTREE'!H190+'MOUVEMENTS ENTREE'!I190</f>
        <v>0</v>
      </c>
      <c r="H199" s="66">
        <f>'MVMTS SORTIES &amp; FABRICATIONS'!D190+'MVMTS SORTIES &amp; FABRICATIONS'!E190+'MVMTS SORTIES &amp; FABRICATIONS'!F190+'MVMTS SORTIES &amp; FABRICATIONS'!G190+'MVMTS SORTIES &amp; FABRICATIONS'!H190+'MVMTS SORTIES &amp; FABRICATIONS'!I190+'MVMTS SORTIES &amp; FABRICATIONS'!J190+'VENTES FRANCE'!D190+'VENTES FRANCE'!E190+'VENTES FRANCE'!F190+'VENTES FRANCE'!G190+'VENTES FRANCE'!H190+'VENTES EXPORT &amp; VINS VINES'!D189+'VENTES EXPORT &amp; VINS VINES'!E189+'VENTES EXPORT &amp; VINS VINES'!F189+'VENTES EXPORT &amp; VINS VINES'!G189</f>
        <v>0</v>
      </c>
      <c r="I199" s="66">
        <f t="shared" si="2"/>
        <v>0</v>
      </c>
      <c r="J199" s="97">
        <v>0</v>
      </c>
    </row>
    <row r="200" spans="1:10" x14ac:dyDescent="0.2">
      <c r="A200" s="47"/>
      <c r="B200" s="48"/>
      <c r="C200" s="49"/>
      <c r="D200" s="100"/>
      <c r="E200" s="64"/>
      <c r="F200" s="65"/>
      <c r="G200" s="60">
        <f>'MOUVEMENTS ENTREE'!D191+'MOUVEMENTS ENTREE'!E191+'MOUVEMENTS ENTREE'!F191+'MOUVEMENTS ENTREE'!G191+'MOUVEMENTS ENTREE'!H191+'MOUVEMENTS ENTREE'!I191</f>
        <v>0</v>
      </c>
      <c r="H200" s="66">
        <f>'MVMTS SORTIES &amp; FABRICATIONS'!D191+'MVMTS SORTIES &amp; FABRICATIONS'!E191+'MVMTS SORTIES &amp; FABRICATIONS'!F191+'MVMTS SORTIES &amp; FABRICATIONS'!G191+'MVMTS SORTIES &amp; FABRICATIONS'!H191+'MVMTS SORTIES &amp; FABRICATIONS'!I191+'MVMTS SORTIES &amp; FABRICATIONS'!J191+'VENTES FRANCE'!D191+'VENTES FRANCE'!E191+'VENTES FRANCE'!F191+'VENTES FRANCE'!G191+'VENTES FRANCE'!H191+'VENTES EXPORT &amp; VINS VINES'!D190+'VENTES EXPORT &amp; VINS VINES'!E190+'VENTES EXPORT &amp; VINS VINES'!F190+'VENTES EXPORT &amp; VINS VINES'!G190</f>
        <v>0</v>
      </c>
      <c r="I200" s="66">
        <f t="shared" si="2"/>
        <v>0</v>
      </c>
      <c r="J200" s="97">
        <v>0</v>
      </c>
    </row>
    <row r="201" spans="1:10" x14ac:dyDescent="0.2">
      <c r="A201" s="47"/>
      <c r="B201" s="48"/>
      <c r="C201" s="49"/>
      <c r="D201" s="100"/>
      <c r="E201" s="64"/>
      <c r="F201" s="65"/>
      <c r="G201" s="60">
        <f>'MOUVEMENTS ENTREE'!D192+'MOUVEMENTS ENTREE'!E192+'MOUVEMENTS ENTREE'!F192+'MOUVEMENTS ENTREE'!G192+'MOUVEMENTS ENTREE'!H192+'MOUVEMENTS ENTREE'!I192</f>
        <v>0</v>
      </c>
      <c r="H201" s="66">
        <f>'MVMTS SORTIES &amp; FABRICATIONS'!D192+'MVMTS SORTIES &amp; FABRICATIONS'!E192+'MVMTS SORTIES &amp; FABRICATIONS'!F192+'MVMTS SORTIES &amp; FABRICATIONS'!G192+'MVMTS SORTIES &amp; FABRICATIONS'!H192+'MVMTS SORTIES &amp; FABRICATIONS'!I192+'MVMTS SORTIES &amp; FABRICATIONS'!J192+'VENTES FRANCE'!D192+'VENTES FRANCE'!E192+'VENTES FRANCE'!F192+'VENTES FRANCE'!G192+'VENTES FRANCE'!H192+'VENTES EXPORT &amp; VINS VINES'!D191+'VENTES EXPORT &amp; VINS VINES'!E191+'VENTES EXPORT &amp; VINS VINES'!F191+'VENTES EXPORT &amp; VINS VINES'!G191</f>
        <v>0</v>
      </c>
      <c r="I201" s="66">
        <f t="shared" si="2"/>
        <v>0</v>
      </c>
      <c r="J201" s="97">
        <v>0</v>
      </c>
    </row>
    <row r="202" spans="1:10" x14ac:dyDescent="0.2">
      <c r="A202" s="47"/>
      <c r="B202" s="48"/>
      <c r="C202" s="49"/>
      <c r="D202" s="100"/>
      <c r="E202" s="64"/>
      <c r="F202" s="65"/>
      <c r="G202" s="60">
        <f>'MOUVEMENTS ENTREE'!D193+'MOUVEMENTS ENTREE'!E193+'MOUVEMENTS ENTREE'!F193+'MOUVEMENTS ENTREE'!G193+'MOUVEMENTS ENTREE'!H193+'MOUVEMENTS ENTREE'!I193</f>
        <v>0</v>
      </c>
      <c r="H202" s="66">
        <f>'MVMTS SORTIES &amp; FABRICATIONS'!D193+'MVMTS SORTIES &amp; FABRICATIONS'!E193+'MVMTS SORTIES &amp; FABRICATIONS'!F193+'MVMTS SORTIES &amp; FABRICATIONS'!G193+'MVMTS SORTIES &amp; FABRICATIONS'!H193+'MVMTS SORTIES &amp; FABRICATIONS'!I193+'MVMTS SORTIES &amp; FABRICATIONS'!J193+'VENTES FRANCE'!D193+'VENTES FRANCE'!E193+'VENTES FRANCE'!F193+'VENTES FRANCE'!G193+'VENTES FRANCE'!H193+'VENTES EXPORT &amp; VINS VINES'!D192+'VENTES EXPORT &amp; VINS VINES'!E192+'VENTES EXPORT &amp; VINS VINES'!F192+'VENTES EXPORT &amp; VINS VINES'!G192</f>
        <v>0</v>
      </c>
      <c r="I202" s="66">
        <f t="shared" si="2"/>
        <v>0</v>
      </c>
      <c r="J202" s="97">
        <v>0</v>
      </c>
    </row>
    <row r="203" spans="1:10" x14ac:dyDescent="0.2">
      <c r="A203" s="47"/>
      <c r="B203" s="48"/>
      <c r="C203" s="49"/>
      <c r="D203" s="100"/>
      <c r="E203" s="64"/>
      <c r="F203" s="65"/>
      <c r="G203" s="60">
        <f>'MOUVEMENTS ENTREE'!D194+'MOUVEMENTS ENTREE'!E194+'MOUVEMENTS ENTREE'!F194+'MOUVEMENTS ENTREE'!G194+'MOUVEMENTS ENTREE'!H194+'MOUVEMENTS ENTREE'!I194</f>
        <v>0</v>
      </c>
      <c r="H203" s="66">
        <f>'MVMTS SORTIES &amp; FABRICATIONS'!D194+'MVMTS SORTIES &amp; FABRICATIONS'!E194+'MVMTS SORTIES &amp; FABRICATIONS'!F194+'MVMTS SORTIES &amp; FABRICATIONS'!G194+'MVMTS SORTIES &amp; FABRICATIONS'!H194+'MVMTS SORTIES &amp; FABRICATIONS'!I194+'MVMTS SORTIES &amp; FABRICATIONS'!J194+'VENTES FRANCE'!D194+'VENTES FRANCE'!E194+'VENTES FRANCE'!F194+'VENTES FRANCE'!G194+'VENTES FRANCE'!H194+'VENTES EXPORT &amp; VINS VINES'!D193+'VENTES EXPORT &amp; VINS VINES'!E193+'VENTES EXPORT &amp; VINS VINES'!F193+'VENTES EXPORT &amp; VINS VINES'!G193</f>
        <v>0</v>
      </c>
      <c r="I203" s="66">
        <f t="shared" si="2"/>
        <v>0</v>
      </c>
      <c r="J203" s="97">
        <v>0</v>
      </c>
    </row>
    <row r="204" spans="1:10" x14ac:dyDescent="0.2">
      <c r="A204" s="47"/>
      <c r="B204" s="48"/>
      <c r="C204" s="49"/>
      <c r="D204" s="100"/>
      <c r="E204" s="64"/>
      <c r="F204" s="65"/>
      <c r="G204" s="60">
        <f>'MOUVEMENTS ENTREE'!D195+'MOUVEMENTS ENTREE'!E195+'MOUVEMENTS ENTREE'!F195+'MOUVEMENTS ENTREE'!G195+'MOUVEMENTS ENTREE'!H195+'MOUVEMENTS ENTREE'!I195</f>
        <v>0</v>
      </c>
      <c r="H204" s="66">
        <f>'MVMTS SORTIES &amp; FABRICATIONS'!D195+'MVMTS SORTIES &amp; FABRICATIONS'!E195+'MVMTS SORTIES &amp; FABRICATIONS'!F195+'MVMTS SORTIES &amp; FABRICATIONS'!G195+'MVMTS SORTIES &amp; FABRICATIONS'!H195+'MVMTS SORTIES &amp; FABRICATIONS'!I195+'MVMTS SORTIES &amp; FABRICATIONS'!J195+'VENTES FRANCE'!D195+'VENTES FRANCE'!E195+'VENTES FRANCE'!F195+'VENTES FRANCE'!G195+'VENTES FRANCE'!H195+'VENTES EXPORT &amp; VINS VINES'!D194+'VENTES EXPORT &amp; VINS VINES'!E194+'VENTES EXPORT &amp; VINS VINES'!F194+'VENTES EXPORT &amp; VINS VINES'!G194</f>
        <v>0</v>
      </c>
      <c r="I204" s="66">
        <f t="shared" si="2"/>
        <v>0</v>
      </c>
      <c r="J204" s="97">
        <v>0</v>
      </c>
    </row>
    <row r="205" spans="1:10" x14ac:dyDescent="0.2">
      <c r="A205" s="47"/>
      <c r="B205" s="48"/>
      <c r="C205" s="49"/>
      <c r="D205" s="100"/>
      <c r="E205" s="64"/>
      <c r="F205" s="65"/>
      <c r="G205" s="60">
        <f>'MOUVEMENTS ENTREE'!D196+'MOUVEMENTS ENTREE'!E196+'MOUVEMENTS ENTREE'!F196+'MOUVEMENTS ENTREE'!G196+'MOUVEMENTS ENTREE'!H196+'MOUVEMENTS ENTREE'!I196</f>
        <v>0</v>
      </c>
      <c r="H205" s="66">
        <f>'MVMTS SORTIES &amp; FABRICATIONS'!D196+'MVMTS SORTIES &amp; FABRICATIONS'!E196+'MVMTS SORTIES &amp; FABRICATIONS'!F196+'MVMTS SORTIES &amp; FABRICATIONS'!G196+'MVMTS SORTIES &amp; FABRICATIONS'!H196+'MVMTS SORTIES &amp; FABRICATIONS'!I196+'MVMTS SORTIES &amp; FABRICATIONS'!J196+'VENTES FRANCE'!D196+'VENTES FRANCE'!E196+'VENTES FRANCE'!F196+'VENTES FRANCE'!G196+'VENTES FRANCE'!H196+'VENTES EXPORT &amp; VINS VINES'!D195+'VENTES EXPORT &amp; VINS VINES'!E195+'VENTES EXPORT &amp; VINS VINES'!F195+'VENTES EXPORT &amp; VINS VINES'!G195</f>
        <v>0</v>
      </c>
      <c r="I205" s="66">
        <f t="shared" si="2"/>
        <v>0</v>
      </c>
      <c r="J205" s="97">
        <v>0</v>
      </c>
    </row>
    <row r="206" spans="1:10" x14ac:dyDescent="0.2">
      <c r="A206" s="47"/>
      <c r="B206" s="48"/>
      <c r="C206" s="49"/>
      <c r="D206" s="100"/>
      <c r="E206" s="64"/>
      <c r="F206" s="65"/>
      <c r="G206" s="60">
        <f>'MOUVEMENTS ENTREE'!D197+'MOUVEMENTS ENTREE'!E197+'MOUVEMENTS ENTREE'!F197+'MOUVEMENTS ENTREE'!G197+'MOUVEMENTS ENTREE'!H197+'MOUVEMENTS ENTREE'!I197</f>
        <v>0</v>
      </c>
      <c r="H206" s="66">
        <f>'MVMTS SORTIES &amp; FABRICATIONS'!D197+'MVMTS SORTIES &amp; FABRICATIONS'!E197+'MVMTS SORTIES &amp; FABRICATIONS'!F197+'MVMTS SORTIES &amp; FABRICATIONS'!G197+'MVMTS SORTIES &amp; FABRICATIONS'!H197+'MVMTS SORTIES &amp; FABRICATIONS'!I197+'MVMTS SORTIES &amp; FABRICATIONS'!J197+'VENTES FRANCE'!D197+'VENTES FRANCE'!E197+'VENTES FRANCE'!F197+'VENTES FRANCE'!G197+'VENTES FRANCE'!H197+'VENTES EXPORT &amp; VINS VINES'!D196+'VENTES EXPORT &amp; VINS VINES'!E196+'VENTES EXPORT &amp; VINS VINES'!F196+'VENTES EXPORT &amp; VINS VINES'!G196</f>
        <v>0</v>
      </c>
      <c r="I206" s="66">
        <f t="shared" si="2"/>
        <v>0</v>
      </c>
      <c r="J206" s="97">
        <v>0</v>
      </c>
    </row>
    <row r="207" spans="1:10" x14ac:dyDescent="0.2">
      <c r="A207" s="47"/>
      <c r="B207" s="48"/>
      <c r="C207" s="49"/>
      <c r="D207" s="100"/>
      <c r="E207" s="64"/>
      <c r="F207" s="65"/>
      <c r="G207" s="60">
        <f>'MOUVEMENTS ENTREE'!D198+'MOUVEMENTS ENTREE'!E198+'MOUVEMENTS ENTREE'!F198+'MOUVEMENTS ENTREE'!G198+'MOUVEMENTS ENTREE'!H198+'MOUVEMENTS ENTREE'!I198</f>
        <v>0</v>
      </c>
      <c r="H207" s="66">
        <f>'MVMTS SORTIES &amp; FABRICATIONS'!D198+'MVMTS SORTIES &amp; FABRICATIONS'!E198+'MVMTS SORTIES &amp; FABRICATIONS'!F198+'MVMTS SORTIES &amp; FABRICATIONS'!G198+'MVMTS SORTIES &amp; FABRICATIONS'!H198+'MVMTS SORTIES &amp; FABRICATIONS'!I198+'MVMTS SORTIES &amp; FABRICATIONS'!J198+'VENTES FRANCE'!D198+'VENTES FRANCE'!E198+'VENTES FRANCE'!F198+'VENTES FRANCE'!G198+'VENTES FRANCE'!H198+'VENTES EXPORT &amp; VINS VINES'!D197+'VENTES EXPORT &amp; VINS VINES'!E197+'VENTES EXPORT &amp; VINS VINES'!F197+'VENTES EXPORT &amp; VINS VINES'!G197</f>
        <v>0</v>
      </c>
      <c r="I207" s="66">
        <f t="shared" si="2"/>
        <v>0</v>
      </c>
      <c r="J207" s="97">
        <v>0</v>
      </c>
    </row>
    <row r="208" spans="1:10" x14ac:dyDescent="0.2">
      <c r="A208" s="47"/>
      <c r="B208" s="48"/>
      <c r="C208" s="49"/>
      <c r="D208" s="100"/>
      <c r="E208" s="64"/>
      <c r="F208" s="65"/>
      <c r="G208" s="60">
        <f>'MOUVEMENTS ENTREE'!D199+'MOUVEMENTS ENTREE'!E199+'MOUVEMENTS ENTREE'!F199+'MOUVEMENTS ENTREE'!G199+'MOUVEMENTS ENTREE'!H199+'MOUVEMENTS ENTREE'!I199</f>
        <v>0</v>
      </c>
      <c r="H208" s="66">
        <f>'MVMTS SORTIES &amp; FABRICATIONS'!D199+'MVMTS SORTIES &amp; FABRICATIONS'!E199+'MVMTS SORTIES &amp; FABRICATIONS'!F199+'MVMTS SORTIES &amp; FABRICATIONS'!G199+'MVMTS SORTIES &amp; FABRICATIONS'!H199+'MVMTS SORTIES &amp; FABRICATIONS'!I199+'MVMTS SORTIES &amp; FABRICATIONS'!J199+'VENTES FRANCE'!D199+'VENTES FRANCE'!E199+'VENTES FRANCE'!F199+'VENTES FRANCE'!G199+'VENTES FRANCE'!H199+'VENTES EXPORT &amp; VINS VINES'!D198+'VENTES EXPORT &amp; VINS VINES'!E198+'VENTES EXPORT &amp; VINS VINES'!F198+'VENTES EXPORT &amp; VINS VINES'!G198</f>
        <v>0</v>
      </c>
      <c r="I208" s="66">
        <f t="shared" si="2"/>
        <v>0</v>
      </c>
      <c r="J208" s="97">
        <v>0</v>
      </c>
    </row>
    <row r="209" spans="1:10" x14ac:dyDescent="0.2">
      <c r="A209" s="47"/>
      <c r="B209" s="48"/>
      <c r="C209" s="49"/>
      <c r="D209" s="100"/>
      <c r="E209" s="64"/>
      <c r="F209" s="65"/>
      <c r="G209" s="60">
        <f>'MOUVEMENTS ENTREE'!D200+'MOUVEMENTS ENTREE'!E200+'MOUVEMENTS ENTREE'!F200+'MOUVEMENTS ENTREE'!G200+'MOUVEMENTS ENTREE'!H200+'MOUVEMENTS ENTREE'!I200</f>
        <v>0</v>
      </c>
      <c r="H209" s="66">
        <f>'MVMTS SORTIES &amp; FABRICATIONS'!D200+'MVMTS SORTIES &amp; FABRICATIONS'!E200+'MVMTS SORTIES &amp; FABRICATIONS'!F200+'MVMTS SORTIES &amp; FABRICATIONS'!G200+'MVMTS SORTIES &amp; FABRICATIONS'!H200+'MVMTS SORTIES &amp; FABRICATIONS'!I200+'MVMTS SORTIES &amp; FABRICATIONS'!J200+'VENTES FRANCE'!D200+'VENTES FRANCE'!E200+'VENTES FRANCE'!F200+'VENTES FRANCE'!G200+'VENTES FRANCE'!H200+'VENTES EXPORT &amp; VINS VINES'!D199+'VENTES EXPORT &amp; VINS VINES'!E199+'VENTES EXPORT &amp; VINS VINES'!F199+'VENTES EXPORT &amp; VINS VINES'!G199</f>
        <v>0</v>
      </c>
      <c r="I209" s="66">
        <f t="shared" si="2"/>
        <v>0</v>
      </c>
      <c r="J209" s="97">
        <v>0</v>
      </c>
    </row>
    <row r="210" spans="1:10" x14ac:dyDescent="0.2">
      <c r="A210" s="47"/>
      <c r="B210" s="48"/>
      <c r="C210" s="49"/>
      <c r="D210" s="100"/>
      <c r="E210" s="64"/>
      <c r="F210" s="65"/>
      <c r="G210" s="60">
        <f>'MOUVEMENTS ENTREE'!D201+'MOUVEMENTS ENTREE'!E201+'MOUVEMENTS ENTREE'!F201+'MOUVEMENTS ENTREE'!G201+'MOUVEMENTS ENTREE'!H201+'MOUVEMENTS ENTREE'!I201</f>
        <v>0</v>
      </c>
      <c r="H210" s="66">
        <f>'MVMTS SORTIES &amp; FABRICATIONS'!D201+'MVMTS SORTIES &amp; FABRICATIONS'!E201+'MVMTS SORTIES &amp; FABRICATIONS'!F201+'MVMTS SORTIES &amp; FABRICATIONS'!G201+'MVMTS SORTIES &amp; FABRICATIONS'!H201+'MVMTS SORTIES &amp; FABRICATIONS'!I201+'MVMTS SORTIES &amp; FABRICATIONS'!J201+'VENTES FRANCE'!D201+'VENTES FRANCE'!E201+'VENTES FRANCE'!F201+'VENTES FRANCE'!G201+'VENTES FRANCE'!H201+'VENTES EXPORT &amp; VINS VINES'!D200+'VENTES EXPORT &amp; VINS VINES'!E200+'VENTES EXPORT &amp; VINS VINES'!F200+'VENTES EXPORT &amp; VINS VINES'!G200</f>
        <v>0</v>
      </c>
      <c r="I210" s="66">
        <f t="shared" si="2"/>
        <v>0</v>
      </c>
      <c r="J210" s="97">
        <v>0</v>
      </c>
    </row>
    <row r="211" spans="1:10" x14ac:dyDescent="0.2">
      <c r="A211" s="47"/>
      <c r="B211" s="48"/>
      <c r="C211" s="49"/>
      <c r="D211" s="100"/>
      <c r="E211" s="64"/>
      <c r="F211" s="65"/>
      <c r="G211" s="60">
        <f>'MOUVEMENTS ENTREE'!D202+'MOUVEMENTS ENTREE'!E202+'MOUVEMENTS ENTREE'!F202+'MOUVEMENTS ENTREE'!G202+'MOUVEMENTS ENTREE'!H202+'MOUVEMENTS ENTREE'!I202</f>
        <v>0</v>
      </c>
      <c r="H211" s="66">
        <f>'MVMTS SORTIES &amp; FABRICATIONS'!D202+'MVMTS SORTIES &amp; FABRICATIONS'!E202+'MVMTS SORTIES &amp; FABRICATIONS'!F202+'MVMTS SORTIES &amp; FABRICATIONS'!G202+'MVMTS SORTIES &amp; FABRICATIONS'!H202+'MVMTS SORTIES &amp; FABRICATIONS'!I202+'MVMTS SORTIES &amp; FABRICATIONS'!J202+'VENTES FRANCE'!D202+'VENTES FRANCE'!E202+'VENTES FRANCE'!F202+'VENTES FRANCE'!G202+'VENTES FRANCE'!H202+'VENTES EXPORT &amp; VINS VINES'!D201+'VENTES EXPORT &amp; VINS VINES'!E201+'VENTES EXPORT &amp; VINS VINES'!F201+'VENTES EXPORT &amp; VINS VINES'!G201</f>
        <v>0</v>
      </c>
      <c r="I211" s="66">
        <f t="shared" ref="I211:I267" si="3">D211+E211+F211+G211-H211</f>
        <v>0</v>
      </c>
      <c r="J211" s="97">
        <v>0</v>
      </c>
    </row>
    <row r="212" spans="1:10" x14ac:dyDescent="0.2">
      <c r="A212" s="47"/>
      <c r="B212" s="48"/>
      <c r="C212" s="49"/>
      <c r="D212" s="100"/>
      <c r="E212" s="64"/>
      <c r="F212" s="65"/>
      <c r="G212" s="60">
        <f>'MOUVEMENTS ENTREE'!D203+'MOUVEMENTS ENTREE'!E203+'MOUVEMENTS ENTREE'!F203+'MOUVEMENTS ENTREE'!G203+'MOUVEMENTS ENTREE'!H203+'MOUVEMENTS ENTREE'!I203</f>
        <v>0</v>
      </c>
      <c r="H212" s="66">
        <f>'MVMTS SORTIES &amp; FABRICATIONS'!D203+'MVMTS SORTIES &amp; FABRICATIONS'!E203+'MVMTS SORTIES &amp; FABRICATIONS'!F203+'MVMTS SORTIES &amp; FABRICATIONS'!G203+'MVMTS SORTIES &amp; FABRICATIONS'!H203+'MVMTS SORTIES &amp; FABRICATIONS'!I203+'MVMTS SORTIES &amp; FABRICATIONS'!J203+'VENTES FRANCE'!D203+'VENTES FRANCE'!E203+'VENTES FRANCE'!F203+'VENTES FRANCE'!G203+'VENTES FRANCE'!H203+'VENTES EXPORT &amp; VINS VINES'!D202+'VENTES EXPORT &amp; VINS VINES'!E202+'VENTES EXPORT &amp; VINS VINES'!F202+'VENTES EXPORT &amp; VINS VINES'!G202</f>
        <v>0</v>
      </c>
      <c r="I212" s="66">
        <f t="shared" si="3"/>
        <v>0</v>
      </c>
      <c r="J212" s="97">
        <v>0</v>
      </c>
    </row>
    <row r="213" spans="1:10" x14ac:dyDescent="0.2">
      <c r="A213" s="47"/>
      <c r="B213" s="48"/>
      <c r="C213" s="49"/>
      <c r="D213" s="100"/>
      <c r="E213" s="64"/>
      <c r="F213" s="65"/>
      <c r="G213" s="60">
        <f>'MOUVEMENTS ENTREE'!D204+'MOUVEMENTS ENTREE'!E204+'MOUVEMENTS ENTREE'!F204+'MOUVEMENTS ENTREE'!G204+'MOUVEMENTS ENTREE'!H204+'MOUVEMENTS ENTREE'!I204</f>
        <v>0</v>
      </c>
      <c r="H213" s="66">
        <f>'MVMTS SORTIES &amp; FABRICATIONS'!D204+'MVMTS SORTIES &amp; FABRICATIONS'!E204+'MVMTS SORTIES &amp; FABRICATIONS'!F204+'MVMTS SORTIES &amp; FABRICATIONS'!G204+'MVMTS SORTIES &amp; FABRICATIONS'!H204+'MVMTS SORTIES &amp; FABRICATIONS'!I204+'MVMTS SORTIES &amp; FABRICATIONS'!J204+'VENTES FRANCE'!D204+'VENTES FRANCE'!E204+'VENTES FRANCE'!F204+'VENTES FRANCE'!G204+'VENTES FRANCE'!H204+'VENTES EXPORT &amp; VINS VINES'!D203+'VENTES EXPORT &amp; VINS VINES'!E203+'VENTES EXPORT &amp; VINS VINES'!F203+'VENTES EXPORT &amp; VINS VINES'!G203</f>
        <v>0</v>
      </c>
      <c r="I213" s="66">
        <f t="shared" si="3"/>
        <v>0</v>
      </c>
      <c r="J213" s="97">
        <v>0</v>
      </c>
    </row>
    <row r="214" spans="1:10" x14ac:dyDescent="0.2">
      <c r="A214" s="47"/>
      <c r="B214" s="48"/>
      <c r="C214" s="49"/>
      <c r="D214" s="100"/>
      <c r="E214" s="64"/>
      <c r="F214" s="65"/>
      <c r="G214" s="60">
        <f>'MOUVEMENTS ENTREE'!D205+'MOUVEMENTS ENTREE'!E205+'MOUVEMENTS ENTREE'!F205+'MOUVEMENTS ENTREE'!G205+'MOUVEMENTS ENTREE'!H205+'MOUVEMENTS ENTREE'!I205</f>
        <v>0</v>
      </c>
      <c r="H214" s="66">
        <f>'MVMTS SORTIES &amp; FABRICATIONS'!D205+'MVMTS SORTIES &amp; FABRICATIONS'!E205+'MVMTS SORTIES &amp; FABRICATIONS'!F205+'MVMTS SORTIES &amp; FABRICATIONS'!G205+'MVMTS SORTIES &amp; FABRICATIONS'!H205+'MVMTS SORTIES &amp; FABRICATIONS'!I205+'MVMTS SORTIES &amp; FABRICATIONS'!J205+'VENTES FRANCE'!D205+'VENTES FRANCE'!E205+'VENTES FRANCE'!F205+'VENTES FRANCE'!G205+'VENTES FRANCE'!H205+'VENTES EXPORT &amp; VINS VINES'!D204+'VENTES EXPORT &amp; VINS VINES'!E204+'VENTES EXPORT &amp; VINS VINES'!F204+'VENTES EXPORT &amp; VINS VINES'!G204</f>
        <v>0</v>
      </c>
      <c r="I214" s="66">
        <f t="shared" si="3"/>
        <v>0</v>
      </c>
      <c r="J214" s="97">
        <v>0</v>
      </c>
    </row>
    <row r="215" spans="1:10" x14ac:dyDescent="0.2">
      <c r="A215" s="47"/>
      <c r="B215" s="48"/>
      <c r="C215" s="49"/>
      <c r="D215" s="100"/>
      <c r="E215" s="64"/>
      <c r="F215" s="65"/>
      <c r="G215" s="60">
        <f>'MOUVEMENTS ENTREE'!D206+'MOUVEMENTS ENTREE'!E206+'MOUVEMENTS ENTREE'!F206+'MOUVEMENTS ENTREE'!G206+'MOUVEMENTS ENTREE'!H206+'MOUVEMENTS ENTREE'!I206</f>
        <v>0</v>
      </c>
      <c r="H215" s="66">
        <f>'MVMTS SORTIES &amp; FABRICATIONS'!D206+'MVMTS SORTIES &amp; FABRICATIONS'!E206+'MVMTS SORTIES &amp; FABRICATIONS'!F206+'MVMTS SORTIES &amp; FABRICATIONS'!G206+'MVMTS SORTIES &amp; FABRICATIONS'!H206+'MVMTS SORTIES &amp; FABRICATIONS'!I206+'MVMTS SORTIES &amp; FABRICATIONS'!J206+'VENTES FRANCE'!D206+'VENTES FRANCE'!E206+'VENTES FRANCE'!F206+'VENTES FRANCE'!G206+'VENTES FRANCE'!H206+'VENTES EXPORT &amp; VINS VINES'!D205+'VENTES EXPORT &amp; VINS VINES'!E205+'VENTES EXPORT &amp; VINS VINES'!F205+'VENTES EXPORT &amp; VINS VINES'!G205</f>
        <v>0</v>
      </c>
      <c r="I215" s="66">
        <f t="shared" si="3"/>
        <v>0</v>
      </c>
      <c r="J215" s="97">
        <v>0</v>
      </c>
    </row>
    <row r="216" spans="1:10" x14ac:dyDescent="0.2">
      <c r="A216" s="47"/>
      <c r="B216" s="48"/>
      <c r="C216" s="49"/>
      <c r="D216" s="100"/>
      <c r="E216" s="64"/>
      <c r="F216" s="65"/>
      <c r="G216" s="60">
        <f>'MOUVEMENTS ENTREE'!D207+'MOUVEMENTS ENTREE'!E207+'MOUVEMENTS ENTREE'!F207+'MOUVEMENTS ENTREE'!G207+'MOUVEMENTS ENTREE'!H207+'MOUVEMENTS ENTREE'!I207</f>
        <v>0</v>
      </c>
      <c r="H216" s="66">
        <f>'MVMTS SORTIES &amp; FABRICATIONS'!D207+'MVMTS SORTIES &amp; FABRICATIONS'!E207+'MVMTS SORTIES &amp; FABRICATIONS'!F207+'MVMTS SORTIES &amp; FABRICATIONS'!G207+'MVMTS SORTIES &amp; FABRICATIONS'!H207+'MVMTS SORTIES &amp; FABRICATIONS'!I207+'MVMTS SORTIES &amp; FABRICATIONS'!J207+'VENTES FRANCE'!D207+'VENTES FRANCE'!E207+'VENTES FRANCE'!F207+'VENTES FRANCE'!G207+'VENTES FRANCE'!H207+'VENTES EXPORT &amp; VINS VINES'!D206+'VENTES EXPORT &amp; VINS VINES'!E206+'VENTES EXPORT &amp; VINS VINES'!F206+'VENTES EXPORT &amp; VINS VINES'!G206</f>
        <v>0</v>
      </c>
      <c r="I216" s="66">
        <f t="shared" si="3"/>
        <v>0</v>
      </c>
      <c r="J216" s="97">
        <v>0</v>
      </c>
    </row>
    <row r="217" spans="1:10" x14ac:dyDescent="0.2">
      <c r="A217" s="47"/>
      <c r="B217" s="48"/>
      <c r="C217" s="49"/>
      <c r="D217" s="100"/>
      <c r="E217" s="64"/>
      <c r="F217" s="65"/>
      <c r="G217" s="60">
        <f>'MOUVEMENTS ENTREE'!D208+'MOUVEMENTS ENTREE'!E208+'MOUVEMENTS ENTREE'!F208+'MOUVEMENTS ENTREE'!G208+'MOUVEMENTS ENTREE'!H208+'MOUVEMENTS ENTREE'!I208</f>
        <v>0</v>
      </c>
      <c r="H217" s="66">
        <f>'MVMTS SORTIES &amp; FABRICATIONS'!D208+'MVMTS SORTIES &amp; FABRICATIONS'!E208+'MVMTS SORTIES &amp; FABRICATIONS'!F208+'MVMTS SORTIES &amp; FABRICATIONS'!G208+'MVMTS SORTIES &amp; FABRICATIONS'!H208+'MVMTS SORTIES &amp; FABRICATIONS'!I208+'MVMTS SORTIES &amp; FABRICATIONS'!J208+'VENTES FRANCE'!D208+'VENTES FRANCE'!E208+'VENTES FRANCE'!F208+'VENTES FRANCE'!G208+'VENTES FRANCE'!H208+'VENTES EXPORT &amp; VINS VINES'!D207+'VENTES EXPORT &amp; VINS VINES'!E207+'VENTES EXPORT &amp; VINS VINES'!F207+'VENTES EXPORT &amp; VINS VINES'!G207</f>
        <v>0</v>
      </c>
      <c r="I217" s="66">
        <f t="shared" si="3"/>
        <v>0</v>
      </c>
      <c r="J217" s="97">
        <v>0</v>
      </c>
    </row>
    <row r="218" spans="1:10" x14ac:dyDescent="0.2">
      <c r="A218" s="47"/>
      <c r="B218" s="48"/>
      <c r="C218" s="49"/>
      <c r="D218" s="100"/>
      <c r="E218" s="64"/>
      <c r="F218" s="65"/>
      <c r="G218" s="60">
        <f>'MOUVEMENTS ENTREE'!D209+'MOUVEMENTS ENTREE'!E209+'MOUVEMENTS ENTREE'!F209+'MOUVEMENTS ENTREE'!G209+'MOUVEMENTS ENTREE'!H209+'MOUVEMENTS ENTREE'!I209</f>
        <v>0</v>
      </c>
      <c r="H218" s="66">
        <f>'MVMTS SORTIES &amp; FABRICATIONS'!D209+'MVMTS SORTIES &amp; FABRICATIONS'!E209+'MVMTS SORTIES &amp; FABRICATIONS'!F209+'MVMTS SORTIES &amp; FABRICATIONS'!G209+'MVMTS SORTIES &amp; FABRICATIONS'!H209+'MVMTS SORTIES &amp; FABRICATIONS'!I209+'MVMTS SORTIES &amp; FABRICATIONS'!J209+'VENTES FRANCE'!D209+'VENTES FRANCE'!E209+'VENTES FRANCE'!F209+'VENTES FRANCE'!G209+'VENTES FRANCE'!H209+'VENTES EXPORT &amp; VINS VINES'!D208+'VENTES EXPORT &amp; VINS VINES'!E208+'VENTES EXPORT &amp; VINS VINES'!F208+'VENTES EXPORT &amp; VINS VINES'!G208</f>
        <v>0</v>
      </c>
      <c r="I218" s="66">
        <f t="shared" si="3"/>
        <v>0</v>
      </c>
      <c r="J218" s="97">
        <v>0</v>
      </c>
    </row>
    <row r="219" spans="1:10" x14ac:dyDescent="0.2">
      <c r="A219" s="47"/>
      <c r="B219" s="48"/>
      <c r="C219" s="49"/>
      <c r="D219" s="100"/>
      <c r="E219" s="64"/>
      <c r="F219" s="65"/>
      <c r="G219" s="60">
        <f>'MOUVEMENTS ENTREE'!D210+'MOUVEMENTS ENTREE'!E210+'MOUVEMENTS ENTREE'!F210+'MOUVEMENTS ENTREE'!G210+'MOUVEMENTS ENTREE'!H210+'MOUVEMENTS ENTREE'!I210</f>
        <v>0</v>
      </c>
      <c r="H219" s="66">
        <f>'MVMTS SORTIES &amp; FABRICATIONS'!D210+'MVMTS SORTIES &amp; FABRICATIONS'!E210+'MVMTS SORTIES &amp; FABRICATIONS'!F210+'MVMTS SORTIES &amp; FABRICATIONS'!G210+'MVMTS SORTIES &amp; FABRICATIONS'!H210+'MVMTS SORTIES &amp; FABRICATIONS'!I210+'MVMTS SORTIES &amp; FABRICATIONS'!J210+'VENTES FRANCE'!D210+'VENTES FRANCE'!E210+'VENTES FRANCE'!F210+'VENTES FRANCE'!G210+'VENTES FRANCE'!H210+'VENTES EXPORT &amp; VINS VINES'!D209+'VENTES EXPORT &amp; VINS VINES'!E209+'VENTES EXPORT &amp; VINS VINES'!F209+'VENTES EXPORT &amp; VINS VINES'!G209</f>
        <v>0</v>
      </c>
      <c r="I219" s="66">
        <f t="shared" si="3"/>
        <v>0</v>
      </c>
      <c r="J219" s="97">
        <v>0</v>
      </c>
    </row>
    <row r="220" spans="1:10" x14ac:dyDescent="0.2">
      <c r="A220" s="47"/>
      <c r="B220" s="48"/>
      <c r="C220" s="49"/>
      <c r="D220" s="100"/>
      <c r="E220" s="64"/>
      <c r="F220" s="65"/>
      <c r="G220" s="60">
        <f>'MOUVEMENTS ENTREE'!D211+'MOUVEMENTS ENTREE'!E211+'MOUVEMENTS ENTREE'!F211+'MOUVEMENTS ENTREE'!G211+'MOUVEMENTS ENTREE'!H211+'MOUVEMENTS ENTREE'!I211</f>
        <v>0</v>
      </c>
      <c r="H220" s="66">
        <f>'MVMTS SORTIES &amp; FABRICATIONS'!D211+'MVMTS SORTIES &amp; FABRICATIONS'!E211+'MVMTS SORTIES &amp; FABRICATIONS'!F211+'MVMTS SORTIES &amp; FABRICATIONS'!G211+'MVMTS SORTIES &amp; FABRICATIONS'!H211+'MVMTS SORTIES &amp; FABRICATIONS'!I211+'MVMTS SORTIES &amp; FABRICATIONS'!J211+'VENTES FRANCE'!D211+'VENTES FRANCE'!E211+'VENTES FRANCE'!F211+'VENTES FRANCE'!G211+'VENTES FRANCE'!H211+'VENTES EXPORT &amp; VINS VINES'!D210+'VENTES EXPORT &amp; VINS VINES'!E210+'VENTES EXPORT &amp; VINS VINES'!F210+'VENTES EXPORT &amp; VINS VINES'!G210</f>
        <v>0</v>
      </c>
      <c r="I220" s="66">
        <f t="shared" si="3"/>
        <v>0</v>
      </c>
      <c r="J220" s="97">
        <v>0</v>
      </c>
    </row>
    <row r="221" spans="1:10" x14ac:dyDescent="0.2">
      <c r="A221" s="47"/>
      <c r="B221" s="48"/>
      <c r="C221" s="49"/>
      <c r="D221" s="100"/>
      <c r="E221" s="64"/>
      <c r="F221" s="65"/>
      <c r="G221" s="60">
        <f>'MOUVEMENTS ENTREE'!D212+'MOUVEMENTS ENTREE'!E212+'MOUVEMENTS ENTREE'!F212+'MOUVEMENTS ENTREE'!G212+'MOUVEMENTS ENTREE'!H212+'MOUVEMENTS ENTREE'!I212</f>
        <v>0</v>
      </c>
      <c r="H221" s="66">
        <f>'MVMTS SORTIES &amp; FABRICATIONS'!D212+'MVMTS SORTIES &amp; FABRICATIONS'!E212+'MVMTS SORTIES &amp; FABRICATIONS'!F212+'MVMTS SORTIES &amp; FABRICATIONS'!G212+'MVMTS SORTIES &amp; FABRICATIONS'!H212+'MVMTS SORTIES &amp; FABRICATIONS'!I212+'MVMTS SORTIES &amp; FABRICATIONS'!J212+'VENTES FRANCE'!D212+'VENTES FRANCE'!E212+'VENTES FRANCE'!F212+'VENTES FRANCE'!G212+'VENTES FRANCE'!H212+'VENTES EXPORT &amp; VINS VINES'!D211+'VENTES EXPORT &amp; VINS VINES'!E211+'VENTES EXPORT &amp; VINS VINES'!F211+'VENTES EXPORT &amp; VINS VINES'!G211</f>
        <v>0</v>
      </c>
      <c r="I221" s="66">
        <f t="shared" si="3"/>
        <v>0</v>
      </c>
      <c r="J221" s="97">
        <v>0</v>
      </c>
    </row>
    <row r="222" spans="1:10" x14ac:dyDescent="0.2">
      <c r="A222" s="47"/>
      <c r="B222" s="48"/>
      <c r="C222" s="49"/>
      <c r="D222" s="100"/>
      <c r="E222" s="64"/>
      <c r="F222" s="65"/>
      <c r="G222" s="60">
        <f>'MOUVEMENTS ENTREE'!D213+'MOUVEMENTS ENTREE'!E213+'MOUVEMENTS ENTREE'!F213+'MOUVEMENTS ENTREE'!G213+'MOUVEMENTS ENTREE'!H213+'MOUVEMENTS ENTREE'!I213</f>
        <v>0</v>
      </c>
      <c r="H222" s="66">
        <f>'MVMTS SORTIES &amp; FABRICATIONS'!D213+'MVMTS SORTIES &amp; FABRICATIONS'!E213+'MVMTS SORTIES &amp; FABRICATIONS'!F213+'MVMTS SORTIES &amp; FABRICATIONS'!G213+'MVMTS SORTIES &amp; FABRICATIONS'!H213+'MVMTS SORTIES &amp; FABRICATIONS'!I213+'MVMTS SORTIES &amp; FABRICATIONS'!J213+'VENTES FRANCE'!D213+'VENTES FRANCE'!E213+'VENTES FRANCE'!F213+'VENTES FRANCE'!G213+'VENTES FRANCE'!H213+'VENTES EXPORT &amp; VINS VINES'!D212+'VENTES EXPORT &amp; VINS VINES'!E212+'VENTES EXPORT &amp; VINS VINES'!F212+'VENTES EXPORT &amp; VINS VINES'!G212</f>
        <v>0</v>
      </c>
      <c r="I222" s="66">
        <f t="shared" si="3"/>
        <v>0</v>
      </c>
      <c r="J222" s="97">
        <v>0</v>
      </c>
    </row>
    <row r="223" spans="1:10" x14ac:dyDescent="0.2">
      <c r="A223" s="47"/>
      <c r="B223" s="48"/>
      <c r="C223" s="49"/>
      <c r="D223" s="100"/>
      <c r="E223" s="64"/>
      <c r="F223" s="65"/>
      <c r="G223" s="60">
        <f>'MOUVEMENTS ENTREE'!D214+'MOUVEMENTS ENTREE'!E214+'MOUVEMENTS ENTREE'!F214+'MOUVEMENTS ENTREE'!G214+'MOUVEMENTS ENTREE'!H214+'MOUVEMENTS ENTREE'!I214</f>
        <v>0</v>
      </c>
      <c r="H223" s="66">
        <f>'MVMTS SORTIES &amp; FABRICATIONS'!D214+'MVMTS SORTIES &amp; FABRICATIONS'!E214+'MVMTS SORTIES &amp; FABRICATIONS'!F214+'MVMTS SORTIES &amp; FABRICATIONS'!G214+'MVMTS SORTIES &amp; FABRICATIONS'!H214+'MVMTS SORTIES &amp; FABRICATIONS'!I214+'MVMTS SORTIES &amp; FABRICATIONS'!J214+'VENTES FRANCE'!D214+'VENTES FRANCE'!E214+'VENTES FRANCE'!F214+'VENTES FRANCE'!G214+'VENTES FRANCE'!H214+'VENTES EXPORT &amp; VINS VINES'!D213+'VENTES EXPORT &amp; VINS VINES'!E213+'VENTES EXPORT &amp; VINS VINES'!F213+'VENTES EXPORT &amp; VINS VINES'!G213</f>
        <v>0</v>
      </c>
      <c r="I223" s="66">
        <f t="shared" si="3"/>
        <v>0</v>
      </c>
      <c r="J223" s="97">
        <v>0</v>
      </c>
    </row>
    <row r="224" spans="1:10" x14ac:dyDescent="0.2">
      <c r="A224" s="47"/>
      <c r="B224" s="48"/>
      <c r="C224" s="49"/>
      <c r="D224" s="100"/>
      <c r="E224" s="64"/>
      <c r="F224" s="65"/>
      <c r="G224" s="60">
        <f>'MOUVEMENTS ENTREE'!D215+'MOUVEMENTS ENTREE'!E215+'MOUVEMENTS ENTREE'!F215+'MOUVEMENTS ENTREE'!G215+'MOUVEMENTS ENTREE'!H215+'MOUVEMENTS ENTREE'!I215</f>
        <v>0</v>
      </c>
      <c r="H224" s="66">
        <f>'MVMTS SORTIES &amp; FABRICATIONS'!D215+'MVMTS SORTIES &amp; FABRICATIONS'!E215+'MVMTS SORTIES &amp; FABRICATIONS'!F215+'MVMTS SORTIES &amp; FABRICATIONS'!G215+'MVMTS SORTIES &amp; FABRICATIONS'!H215+'MVMTS SORTIES &amp; FABRICATIONS'!I215+'MVMTS SORTIES &amp; FABRICATIONS'!J215+'VENTES FRANCE'!D215+'VENTES FRANCE'!E215+'VENTES FRANCE'!F215+'VENTES FRANCE'!G215+'VENTES FRANCE'!H215+'VENTES EXPORT &amp; VINS VINES'!D214+'VENTES EXPORT &amp; VINS VINES'!E214+'VENTES EXPORT &amp; VINS VINES'!F214+'VENTES EXPORT &amp; VINS VINES'!G214</f>
        <v>0</v>
      </c>
      <c r="I224" s="66">
        <f t="shared" si="3"/>
        <v>0</v>
      </c>
      <c r="J224" s="97">
        <v>0</v>
      </c>
    </row>
    <row r="225" spans="1:10" x14ac:dyDescent="0.2">
      <c r="A225" s="47"/>
      <c r="B225" s="48"/>
      <c r="C225" s="49"/>
      <c r="D225" s="100"/>
      <c r="E225" s="64"/>
      <c r="F225" s="65"/>
      <c r="G225" s="60">
        <f>'MOUVEMENTS ENTREE'!D216+'MOUVEMENTS ENTREE'!E216+'MOUVEMENTS ENTREE'!F216+'MOUVEMENTS ENTREE'!G216+'MOUVEMENTS ENTREE'!H216+'MOUVEMENTS ENTREE'!I216</f>
        <v>0</v>
      </c>
      <c r="H225" s="66">
        <f>'MVMTS SORTIES &amp; FABRICATIONS'!D216+'MVMTS SORTIES &amp; FABRICATIONS'!E216+'MVMTS SORTIES &amp; FABRICATIONS'!F216+'MVMTS SORTIES &amp; FABRICATIONS'!G216+'MVMTS SORTIES &amp; FABRICATIONS'!H216+'MVMTS SORTIES &amp; FABRICATIONS'!I216+'MVMTS SORTIES &amp; FABRICATIONS'!J216+'VENTES FRANCE'!D216+'VENTES FRANCE'!E216+'VENTES FRANCE'!F216+'VENTES FRANCE'!G216+'VENTES FRANCE'!H216+'VENTES EXPORT &amp; VINS VINES'!D215+'VENTES EXPORT &amp; VINS VINES'!E215+'VENTES EXPORT &amp; VINS VINES'!F215+'VENTES EXPORT &amp; VINS VINES'!G215</f>
        <v>0</v>
      </c>
      <c r="I225" s="66">
        <f t="shared" si="3"/>
        <v>0</v>
      </c>
      <c r="J225" s="97">
        <v>0</v>
      </c>
    </row>
    <row r="226" spans="1:10" x14ac:dyDescent="0.2">
      <c r="A226" s="47"/>
      <c r="B226" s="48"/>
      <c r="C226" s="49"/>
      <c r="D226" s="100"/>
      <c r="E226" s="64"/>
      <c r="F226" s="65"/>
      <c r="G226" s="60">
        <f>'MOUVEMENTS ENTREE'!D217+'MOUVEMENTS ENTREE'!E217+'MOUVEMENTS ENTREE'!F217+'MOUVEMENTS ENTREE'!G217+'MOUVEMENTS ENTREE'!H217+'MOUVEMENTS ENTREE'!I217</f>
        <v>0</v>
      </c>
      <c r="H226" s="66">
        <f>'MVMTS SORTIES &amp; FABRICATIONS'!D217+'MVMTS SORTIES &amp; FABRICATIONS'!E217+'MVMTS SORTIES &amp; FABRICATIONS'!F217+'MVMTS SORTIES &amp; FABRICATIONS'!G217+'MVMTS SORTIES &amp; FABRICATIONS'!H217+'MVMTS SORTIES &amp; FABRICATIONS'!I217+'MVMTS SORTIES &amp; FABRICATIONS'!J217+'VENTES FRANCE'!D217+'VENTES FRANCE'!E217+'VENTES FRANCE'!F217+'VENTES FRANCE'!G217+'VENTES FRANCE'!H217+'VENTES EXPORT &amp; VINS VINES'!D216+'VENTES EXPORT &amp; VINS VINES'!E216+'VENTES EXPORT &amp; VINS VINES'!F216+'VENTES EXPORT &amp; VINS VINES'!G216</f>
        <v>0</v>
      </c>
      <c r="I226" s="66">
        <f t="shared" si="3"/>
        <v>0</v>
      </c>
      <c r="J226" s="97">
        <v>0</v>
      </c>
    </row>
    <row r="227" spans="1:10" x14ac:dyDescent="0.2">
      <c r="A227" s="47"/>
      <c r="B227" s="48"/>
      <c r="C227" s="49"/>
      <c r="D227" s="100"/>
      <c r="E227" s="64"/>
      <c r="F227" s="65"/>
      <c r="G227" s="60">
        <f>'MOUVEMENTS ENTREE'!D218+'MOUVEMENTS ENTREE'!E218+'MOUVEMENTS ENTREE'!F218+'MOUVEMENTS ENTREE'!G218+'MOUVEMENTS ENTREE'!H218+'MOUVEMENTS ENTREE'!I218</f>
        <v>0</v>
      </c>
      <c r="H227" s="66">
        <f>'MVMTS SORTIES &amp; FABRICATIONS'!D218+'MVMTS SORTIES &amp; FABRICATIONS'!E218+'MVMTS SORTIES &amp; FABRICATIONS'!F218+'MVMTS SORTIES &amp; FABRICATIONS'!G218+'MVMTS SORTIES &amp; FABRICATIONS'!H218+'MVMTS SORTIES &amp; FABRICATIONS'!I218+'MVMTS SORTIES &amp; FABRICATIONS'!J218+'VENTES FRANCE'!D218+'VENTES FRANCE'!E218+'VENTES FRANCE'!F218+'VENTES FRANCE'!G218+'VENTES FRANCE'!H218+'VENTES EXPORT &amp; VINS VINES'!D217+'VENTES EXPORT &amp; VINS VINES'!E217+'VENTES EXPORT &amp; VINS VINES'!F217+'VENTES EXPORT &amp; VINS VINES'!G217</f>
        <v>0</v>
      </c>
      <c r="I227" s="66">
        <f t="shared" si="3"/>
        <v>0</v>
      </c>
      <c r="J227" s="97">
        <v>0</v>
      </c>
    </row>
    <row r="228" spans="1:10" x14ac:dyDescent="0.2">
      <c r="A228" s="47"/>
      <c r="B228" s="48"/>
      <c r="C228" s="49"/>
      <c r="D228" s="100"/>
      <c r="E228" s="64"/>
      <c r="F228" s="65"/>
      <c r="G228" s="60">
        <f>'MOUVEMENTS ENTREE'!D219+'MOUVEMENTS ENTREE'!E219+'MOUVEMENTS ENTREE'!F219+'MOUVEMENTS ENTREE'!G219+'MOUVEMENTS ENTREE'!H219+'MOUVEMENTS ENTREE'!I219</f>
        <v>0</v>
      </c>
      <c r="H228" s="66">
        <f>'MVMTS SORTIES &amp; FABRICATIONS'!D219+'MVMTS SORTIES &amp; FABRICATIONS'!E219+'MVMTS SORTIES &amp; FABRICATIONS'!F219+'MVMTS SORTIES &amp; FABRICATIONS'!G219+'MVMTS SORTIES &amp; FABRICATIONS'!H219+'MVMTS SORTIES &amp; FABRICATIONS'!I219+'MVMTS SORTIES &amp; FABRICATIONS'!J219+'VENTES FRANCE'!D219+'VENTES FRANCE'!E219+'VENTES FRANCE'!F219+'VENTES FRANCE'!G219+'VENTES FRANCE'!H219+'VENTES EXPORT &amp; VINS VINES'!D218+'VENTES EXPORT &amp; VINS VINES'!E218+'VENTES EXPORT &amp; VINS VINES'!F218+'VENTES EXPORT &amp; VINS VINES'!G218</f>
        <v>0</v>
      </c>
      <c r="I228" s="66">
        <f t="shared" si="3"/>
        <v>0</v>
      </c>
      <c r="J228" s="97">
        <v>0</v>
      </c>
    </row>
    <row r="229" spans="1:10" x14ac:dyDescent="0.2">
      <c r="A229" s="47"/>
      <c r="B229" s="48"/>
      <c r="C229" s="49"/>
      <c r="D229" s="100"/>
      <c r="E229" s="64"/>
      <c r="F229" s="65"/>
      <c r="G229" s="60">
        <f>'MOUVEMENTS ENTREE'!D220+'MOUVEMENTS ENTREE'!E220+'MOUVEMENTS ENTREE'!F220+'MOUVEMENTS ENTREE'!G220+'MOUVEMENTS ENTREE'!H220+'MOUVEMENTS ENTREE'!I220</f>
        <v>0</v>
      </c>
      <c r="H229" s="66">
        <f>'MVMTS SORTIES &amp; FABRICATIONS'!D220+'MVMTS SORTIES &amp; FABRICATIONS'!E220+'MVMTS SORTIES &amp; FABRICATIONS'!F220+'MVMTS SORTIES &amp; FABRICATIONS'!G220+'MVMTS SORTIES &amp; FABRICATIONS'!H220+'MVMTS SORTIES &amp; FABRICATIONS'!I220+'MVMTS SORTIES &amp; FABRICATIONS'!J220+'VENTES FRANCE'!D220+'VENTES FRANCE'!E220+'VENTES FRANCE'!F220+'VENTES FRANCE'!G220+'VENTES FRANCE'!H220+'VENTES EXPORT &amp; VINS VINES'!D219+'VENTES EXPORT &amp; VINS VINES'!E219+'VENTES EXPORT &amp; VINS VINES'!F219+'VENTES EXPORT &amp; VINS VINES'!G219</f>
        <v>0</v>
      </c>
      <c r="I229" s="66">
        <f t="shared" si="3"/>
        <v>0</v>
      </c>
      <c r="J229" s="97">
        <v>0</v>
      </c>
    </row>
    <row r="230" spans="1:10" x14ac:dyDescent="0.2">
      <c r="A230" s="47"/>
      <c r="B230" s="48"/>
      <c r="C230" s="49"/>
      <c r="D230" s="100"/>
      <c r="E230" s="64"/>
      <c r="F230" s="65"/>
      <c r="G230" s="60">
        <f>'MOUVEMENTS ENTREE'!D221+'MOUVEMENTS ENTREE'!E221+'MOUVEMENTS ENTREE'!F221+'MOUVEMENTS ENTREE'!G221+'MOUVEMENTS ENTREE'!H221+'MOUVEMENTS ENTREE'!I221</f>
        <v>0</v>
      </c>
      <c r="H230" s="66">
        <f>'MVMTS SORTIES &amp; FABRICATIONS'!D221+'MVMTS SORTIES &amp; FABRICATIONS'!E221+'MVMTS SORTIES &amp; FABRICATIONS'!F221+'MVMTS SORTIES &amp; FABRICATIONS'!G221+'MVMTS SORTIES &amp; FABRICATIONS'!H221+'MVMTS SORTIES &amp; FABRICATIONS'!I221+'MVMTS SORTIES &amp; FABRICATIONS'!J221+'VENTES FRANCE'!D221+'VENTES FRANCE'!E221+'VENTES FRANCE'!F221+'VENTES FRANCE'!G221+'VENTES FRANCE'!H221+'VENTES EXPORT &amp; VINS VINES'!D220+'VENTES EXPORT &amp; VINS VINES'!E220+'VENTES EXPORT &amp; VINS VINES'!F220+'VENTES EXPORT &amp; VINS VINES'!G220</f>
        <v>0</v>
      </c>
      <c r="I230" s="66">
        <f t="shared" si="3"/>
        <v>0</v>
      </c>
      <c r="J230" s="97">
        <v>0</v>
      </c>
    </row>
    <row r="231" spans="1:10" x14ac:dyDescent="0.2">
      <c r="A231" s="47"/>
      <c r="B231" s="48"/>
      <c r="C231" s="49"/>
      <c r="D231" s="100"/>
      <c r="E231" s="64"/>
      <c r="F231" s="65"/>
      <c r="G231" s="60">
        <f>'MOUVEMENTS ENTREE'!D222+'MOUVEMENTS ENTREE'!E222+'MOUVEMENTS ENTREE'!F222+'MOUVEMENTS ENTREE'!G222+'MOUVEMENTS ENTREE'!H222+'MOUVEMENTS ENTREE'!I222</f>
        <v>0</v>
      </c>
      <c r="H231" s="66">
        <f>'MVMTS SORTIES &amp; FABRICATIONS'!D222+'MVMTS SORTIES &amp; FABRICATIONS'!E222+'MVMTS SORTIES &amp; FABRICATIONS'!F222+'MVMTS SORTIES &amp; FABRICATIONS'!G222+'MVMTS SORTIES &amp; FABRICATIONS'!H222+'MVMTS SORTIES &amp; FABRICATIONS'!I222+'MVMTS SORTIES &amp; FABRICATIONS'!J222+'VENTES FRANCE'!D222+'VENTES FRANCE'!E222+'VENTES FRANCE'!F222+'VENTES FRANCE'!G222+'VENTES FRANCE'!H222+'VENTES EXPORT &amp; VINS VINES'!D221+'VENTES EXPORT &amp; VINS VINES'!E221+'VENTES EXPORT &amp; VINS VINES'!F221+'VENTES EXPORT &amp; VINS VINES'!G221</f>
        <v>0</v>
      </c>
      <c r="I231" s="66">
        <f t="shared" si="3"/>
        <v>0</v>
      </c>
      <c r="J231" s="97">
        <v>0</v>
      </c>
    </row>
    <row r="232" spans="1:10" x14ac:dyDescent="0.2">
      <c r="A232" s="47"/>
      <c r="B232" s="48"/>
      <c r="C232" s="49"/>
      <c r="D232" s="100"/>
      <c r="E232" s="64"/>
      <c r="F232" s="65"/>
      <c r="G232" s="60">
        <f>'MOUVEMENTS ENTREE'!D223+'MOUVEMENTS ENTREE'!E223+'MOUVEMENTS ENTREE'!F223+'MOUVEMENTS ENTREE'!G223+'MOUVEMENTS ENTREE'!H223+'MOUVEMENTS ENTREE'!I223</f>
        <v>0</v>
      </c>
      <c r="H232" s="66">
        <f>'MVMTS SORTIES &amp; FABRICATIONS'!D223+'MVMTS SORTIES &amp; FABRICATIONS'!E223+'MVMTS SORTIES &amp; FABRICATIONS'!F223+'MVMTS SORTIES &amp; FABRICATIONS'!G223+'MVMTS SORTIES &amp; FABRICATIONS'!H223+'MVMTS SORTIES &amp; FABRICATIONS'!I223+'MVMTS SORTIES &amp; FABRICATIONS'!J223+'VENTES FRANCE'!D223+'VENTES FRANCE'!E223+'VENTES FRANCE'!F223+'VENTES FRANCE'!G223+'VENTES FRANCE'!H223+'VENTES EXPORT &amp; VINS VINES'!D222+'VENTES EXPORT &amp; VINS VINES'!E222+'VENTES EXPORT &amp; VINS VINES'!F222+'VENTES EXPORT &amp; VINS VINES'!G222</f>
        <v>0</v>
      </c>
      <c r="I232" s="66">
        <f t="shared" si="3"/>
        <v>0</v>
      </c>
      <c r="J232" s="97">
        <v>0</v>
      </c>
    </row>
    <row r="233" spans="1:10" x14ac:dyDescent="0.2">
      <c r="A233" s="47"/>
      <c r="B233" s="48"/>
      <c r="C233" s="49"/>
      <c r="D233" s="100"/>
      <c r="E233" s="64"/>
      <c r="F233" s="65"/>
      <c r="G233" s="60">
        <f>'MOUVEMENTS ENTREE'!D224+'MOUVEMENTS ENTREE'!E224+'MOUVEMENTS ENTREE'!F224+'MOUVEMENTS ENTREE'!G224+'MOUVEMENTS ENTREE'!H224+'MOUVEMENTS ENTREE'!I224</f>
        <v>0</v>
      </c>
      <c r="H233" s="66">
        <f>'MVMTS SORTIES &amp; FABRICATIONS'!D224+'MVMTS SORTIES &amp; FABRICATIONS'!E224+'MVMTS SORTIES &amp; FABRICATIONS'!F224+'MVMTS SORTIES &amp; FABRICATIONS'!G224+'MVMTS SORTIES &amp; FABRICATIONS'!H224+'MVMTS SORTIES &amp; FABRICATIONS'!I224+'MVMTS SORTIES &amp; FABRICATIONS'!J224+'VENTES FRANCE'!D224+'VENTES FRANCE'!E224+'VENTES FRANCE'!F224+'VENTES FRANCE'!G224+'VENTES FRANCE'!H224+'VENTES EXPORT &amp; VINS VINES'!D223+'VENTES EXPORT &amp; VINS VINES'!E223+'VENTES EXPORT &amp; VINS VINES'!F223+'VENTES EXPORT &amp; VINS VINES'!G223</f>
        <v>0</v>
      </c>
      <c r="I233" s="66">
        <f t="shared" si="3"/>
        <v>0</v>
      </c>
      <c r="J233" s="97">
        <v>0</v>
      </c>
    </row>
    <row r="234" spans="1:10" x14ac:dyDescent="0.2">
      <c r="A234" s="47"/>
      <c r="B234" s="48"/>
      <c r="C234" s="49"/>
      <c r="D234" s="100"/>
      <c r="E234" s="64"/>
      <c r="F234" s="65"/>
      <c r="G234" s="60">
        <f>'MOUVEMENTS ENTREE'!D225+'MOUVEMENTS ENTREE'!E225+'MOUVEMENTS ENTREE'!F225+'MOUVEMENTS ENTREE'!G225+'MOUVEMENTS ENTREE'!H225+'MOUVEMENTS ENTREE'!I225</f>
        <v>0</v>
      </c>
      <c r="H234" s="66">
        <f>'MVMTS SORTIES &amp; FABRICATIONS'!D225+'MVMTS SORTIES &amp; FABRICATIONS'!E225+'MVMTS SORTIES &amp; FABRICATIONS'!F225+'MVMTS SORTIES &amp; FABRICATIONS'!G225+'MVMTS SORTIES &amp; FABRICATIONS'!H225+'MVMTS SORTIES &amp; FABRICATIONS'!I225+'MVMTS SORTIES &amp; FABRICATIONS'!J225+'VENTES FRANCE'!D225+'VENTES FRANCE'!E225+'VENTES FRANCE'!F225+'VENTES FRANCE'!G225+'VENTES FRANCE'!H225+'VENTES EXPORT &amp; VINS VINES'!D224+'VENTES EXPORT &amp; VINS VINES'!E224+'VENTES EXPORT &amp; VINS VINES'!F224+'VENTES EXPORT &amp; VINS VINES'!G224</f>
        <v>0</v>
      </c>
      <c r="I234" s="66">
        <f t="shared" si="3"/>
        <v>0</v>
      </c>
      <c r="J234" s="97">
        <v>0</v>
      </c>
    </row>
    <row r="235" spans="1:10" x14ac:dyDescent="0.2">
      <c r="A235" s="47"/>
      <c r="B235" s="48"/>
      <c r="C235" s="49"/>
      <c r="D235" s="100"/>
      <c r="E235" s="64"/>
      <c r="F235" s="65"/>
      <c r="G235" s="60">
        <f>'MOUVEMENTS ENTREE'!D226+'MOUVEMENTS ENTREE'!E226+'MOUVEMENTS ENTREE'!F226+'MOUVEMENTS ENTREE'!G226+'MOUVEMENTS ENTREE'!H226+'MOUVEMENTS ENTREE'!I226</f>
        <v>0</v>
      </c>
      <c r="H235" s="66">
        <f>'MVMTS SORTIES &amp; FABRICATIONS'!D226+'MVMTS SORTIES &amp; FABRICATIONS'!E226+'MVMTS SORTIES &amp; FABRICATIONS'!F226+'MVMTS SORTIES &amp; FABRICATIONS'!G226+'MVMTS SORTIES &amp; FABRICATIONS'!H226+'MVMTS SORTIES &amp; FABRICATIONS'!I226+'MVMTS SORTIES &amp; FABRICATIONS'!J226+'VENTES FRANCE'!D226+'VENTES FRANCE'!E226+'VENTES FRANCE'!F226+'VENTES FRANCE'!G226+'VENTES FRANCE'!H226+'VENTES EXPORT &amp; VINS VINES'!D225+'VENTES EXPORT &amp; VINS VINES'!E225+'VENTES EXPORT &amp; VINS VINES'!F225+'VENTES EXPORT &amp; VINS VINES'!G225</f>
        <v>0</v>
      </c>
      <c r="I235" s="66">
        <f t="shared" si="3"/>
        <v>0</v>
      </c>
      <c r="J235" s="97">
        <v>0</v>
      </c>
    </row>
    <row r="236" spans="1:10" x14ac:dyDescent="0.2">
      <c r="A236" s="47"/>
      <c r="B236" s="48"/>
      <c r="C236" s="49"/>
      <c r="D236" s="100"/>
      <c r="E236" s="64"/>
      <c r="F236" s="65"/>
      <c r="G236" s="60">
        <f>'MOUVEMENTS ENTREE'!D227+'MOUVEMENTS ENTREE'!E227+'MOUVEMENTS ENTREE'!F227+'MOUVEMENTS ENTREE'!G227+'MOUVEMENTS ENTREE'!H227+'MOUVEMENTS ENTREE'!I227</f>
        <v>0</v>
      </c>
      <c r="H236" s="66">
        <f>'MVMTS SORTIES &amp; FABRICATIONS'!D227+'MVMTS SORTIES &amp; FABRICATIONS'!E227+'MVMTS SORTIES &amp; FABRICATIONS'!F227+'MVMTS SORTIES &amp; FABRICATIONS'!G227+'MVMTS SORTIES &amp; FABRICATIONS'!H227+'MVMTS SORTIES &amp; FABRICATIONS'!I227+'MVMTS SORTIES &amp; FABRICATIONS'!J227+'VENTES FRANCE'!D227+'VENTES FRANCE'!E227+'VENTES FRANCE'!F227+'VENTES FRANCE'!G227+'VENTES FRANCE'!H227+'VENTES EXPORT &amp; VINS VINES'!D226+'VENTES EXPORT &amp; VINS VINES'!E226+'VENTES EXPORT &amp; VINS VINES'!F226+'VENTES EXPORT &amp; VINS VINES'!G226</f>
        <v>0</v>
      </c>
      <c r="I236" s="66">
        <f t="shared" si="3"/>
        <v>0</v>
      </c>
      <c r="J236" s="97">
        <v>0</v>
      </c>
    </row>
    <row r="237" spans="1:10" x14ac:dyDescent="0.2">
      <c r="A237" s="47"/>
      <c r="B237" s="48"/>
      <c r="C237" s="49"/>
      <c r="D237" s="100"/>
      <c r="E237" s="64"/>
      <c r="F237" s="65"/>
      <c r="G237" s="60">
        <f>'MOUVEMENTS ENTREE'!D228+'MOUVEMENTS ENTREE'!E228+'MOUVEMENTS ENTREE'!F228+'MOUVEMENTS ENTREE'!G228+'MOUVEMENTS ENTREE'!H228+'MOUVEMENTS ENTREE'!I228</f>
        <v>0</v>
      </c>
      <c r="H237" s="66">
        <f>'MVMTS SORTIES &amp; FABRICATIONS'!D228+'MVMTS SORTIES &amp; FABRICATIONS'!E228+'MVMTS SORTIES &amp; FABRICATIONS'!F228+'MVMTS SORTIES &amp; FABRICATIONS'!G228+'MVMTS SORTIES &amp; FABRICATIONS'!H228+'MVMTS SORTIES &amp; FABRICATIONS'!I228+'MVMTS SORTIES &amp; FABRICATIONS'!J228+'VENTES FRANCE'!D228+'VENTES FRANCE'!E228+'VENTES FRANCE'!F228+'VENTES FRANCE'!G228+'VENTES FRANCE'!H228+'VENTES EXPORT &amp; VINS VINES'!D227+'VENTES EXPORT &amp; VINS VINES'!E227+'VENTES EXPORT &amp; VINS VINES'!F227+'VENTES EXPORT &amp; VINS VINES'!G227</f>
        <v>0</v>
      </c>
      <c r="I237" s="66">
        <f t="shared" si="3"/>
        <v>0</v>
      </c>
      <c r="J237" s="97">
        <v>0</v>
      </c>
    </row>
    <row r="238" spans="1:10" x14ac:dyDescent="0.2">
      <c r="A238" s="47"/>
      <c r="B238" s="48"/>
      <c r="C238" s="49"/>
      <c r="D238" s="100"/>
      <c r="E238" s="64"/>
      <c r="F238" s="65"/>
      <c r="G238" s="60">
        <f>'MOUVEMENTS ENTREE'!D229+'MOUVEMENTS ENTREE'!E229+'MOUVEMENTS ENTREE'!F229+'MOUVEMENTS ENTREE'!G229+'MOUVEMENTS ENTREE'!H229+'MOUVEMENTS ENTREE'!I229</f>
        <v>0</v>
      </c>
      <c r="H238" s="66">
        <f>'MVMTS SORTIES &amp; FABRICATIONS'!D229+'MVMTS SORTIES &amp; FABRICATIONS'!E229+'MVMTS SORTIES &amp; FABRICATIONS'!F229+'MVMTS SORTIES &amp; FABRICATIONS'!G229+'MVMTS SORTIES &amp; FABRICATIONS'!H229+'MVMTS SORTIES &amp; FABRICATIONS'!I229+'MVMTS SORTIES &amp; FABRICATIONS'!J229+'VENTES FRANCE'!D229+'VENTES FRANCE'!E229+'VENTES FRANCE'!F229+'VENTES FRANCE'!G229+'VENTES FRANCE'!H229+'VENTES EXPORT &amp; VINS VINES'!D228+'VENTES EXPORT &amp; VINS VINES'!E228+'VENTES EXPORT &amp; VINS VINES'!F228+'VENTES EXPORT &amp; VINS VINES'!G228</f>
        <v>0</v>
      </c>
      <c r="I238" s="66">
        <f t="shared" si="3"/>
        <v>0</v>
      </c>
      <c r="J238" s="97">
        <v>0</v>
      </c>
    </row>
    <row r="239" spans="1:10" x14ac:dyDescent="0.2">
      <c r="A239" s="47"/>
      <c r="B239" s="48"/>
      <c r="C239" s="49"/>
      <c r="D239" s="100"/>
      <c r="E239" s="64"/>
      <c r="F239" s="65"/>
      <c r="G239" s="60">
        <f>'MOUVEMENTS ENTREE'!D230+'MOUVEMENTS ENTREE'!E230+'MOUVEMENTS ENTREE'!F230+'MOUVEMENTS ENTREE'!G230+'MOUVEMENTS ENTREE'!H230+'MOUVEMENTS ENTREE'!I230</f>
        <v>0</v>
      </c>
      <c r="H239" s="66">
        <f>'MVMTS SORTIES &amp; FABRICATIONS'!D230+'MVMTS SORTIES &amp; FABRICATIONS'!E230+'MVMTS SORTIES &amp; FABRICATIONS'!F230+'MVMTS SORTIES &amp; FABRICATIONS'!G230+'MVMTS SORTIES &amp; FABRICATIONS'!H230+'MVMTS SORTIES &amp; FABRICATIONS'!I230+'MVMTS SORTIES &amp; FABRICATIONS'!J230+'VENTES FRANCE'!D230+'VENTES FRANCE'!E230+'VENTES FRANCE'!F230+'VENTES FRANCE'!G230+'VENTES FRANCE'!H230+'VENTES EXPORT &amp; VINS VINES'!D229+'VENTES EXPORT &amp; VINS VINES'!E229+'VENTES EXPORT &amp; VINS VINES'!F229+'VENTES EXPORT &amp; VINS VINES'!G229</f>
        <v>0</v>
      </c>
      <c r="I239" s="66">
        <f t="shared" si="3"/>
        <v>0</v>
      </c>
      <c r="J239" s="97">
        <v>0</v>
      </c>
    </row>
    <row r="240" spans="1:10" x14ac:dyDescent="0.2">
      <c r="A240" s="47"/>
      <c r="B240" s="48"/>
      <c r="C240" s="49"/>
      <c r="D240" s="100"/>
      <c r="E240" s="64"/>
      <c r="F240" s="65"/>
      <c r="G240" s="60">
        <f>'MOUVEMENTS ENTREE'!D231+'MOUVEMENTS ENTREE'!E231+'MOUVEMENTS ENTREE'!F231+'MOUVEMENTS ENTREE'!G231+'MOUVEMENTS ENTREE'!H231+'MOUVEMENTS ENTREE'!I231</f>
        <v>0</v>
      </c>
      <c r="H240" s="66">
        <f>'MVMTS SORTIES &amp; FABRICATIONS'!D231+'MVMTS SORTIES &amp; FABRICATIONS'!E231+'MVMTS SORTIES &amp; FABRICATIONS'!F231+'MVMTS SORTIES &amp; FABRICATIONS'!G231+'MVMTS SORTIES &amp; FABRICATIONS'!H231+'MVMTS SORTIES &amp; FABRICATIONS'!I231+'MVMTS SORTIES &amp; FABRICATIONS'!J231+'VENTES FRANCE'!D231+'VENTES FRANCE'!E231+'VENTES FRANCE'!F231+'VENTES FRANCE'!G231+'VENTES FRANCE'!H231+'VENTES EXPORT &amp; VINS VINES'!D230+'VENTES EXPORT &amp; VINS VINES'!E230+'VENTES EXPORT &amp; VINS VINES'!F230+'VENTES EXPORT &amp; VINS VINES'!G230</f>
        <v>0</v>
      </c>
      <c r="I240" s="66">
        <f t="shared" si="3"/>
        <v>0</v>
      </c>
      <c r="J240" s="97">
        <v>0</v>
      </c>
    </row>
    <row r="241" spans="1:10" x14ac:dyDescent="0.2">
      <c r="A241" s="47"/>
      <c r="B241" s="48"/>
      <c r="C241" s="49"/>
      <c r="D241" s="100"/>
      <c r="E241" s="64"/>
      <c r="F241" s="65"/>
      <c r="G241" s="60">
        <f>'MOUVEMENTS ENTREE'!D232+'MOUVEMENTS ENTREE'!E232+'MOUVEMENTS ENTREE'!F232+'MOUVEMENTS ENTREE'!G232+'MOUVEMENTS ENTREE'!H232+'MOUVEMENTS ENTREE'!I232</f>
        <v>0</v>
      </c>
      <c r="H241" s="66">
        <f>'MVMTS SORTIES &amp; FABRICATIONS'!D232+'MVMTS SORTIES &amp; FABRICATIONS'!E232+'MVMTS SORTIES &amp; FABRICATIONS'!F232+'MVMTS SORTIES &amp; FABRICATIONS'!G232+'MVMTS SORTIES &amp; FABRICATIONS'!H232+'MVMTS SORTIES &amp; FABRICATIONS'!I232+'MVMTS SORTIES &amp; FABRICATIONS'!J232+'VENTES FRANCE'!D232+'VENTES FRANCE'!E232+'VENTES FRANCE'!F232+'VENTES FRANCE'!G232+'VENTES FRANCE'!H232+'VENTES EXPORT &amp; VINS VINES'!D231+'VENTES EXPORT &amp; VINS VINES'!E231+'VENTES EXPORT &amp; VINS VINES'!F231+'VENTES EXPORT &amp; VINS VINES'!G231</f>
        <v>0</v>
      </c>
      <c r="I241" s="66">
        <f t="shared" si="3"/>
        <v>0</v>
      </c>
      <c r="J241" s="97">
        <v>0</v>
      </c>
    </row>
    <row r="242" spans="1:10" x14ac:dyDescent="0.2">
      <c r="A242" s="47"/>
      <c r="B242" s="48"/>
      <c r="C242" s="49"/>
      <c r="D242" s="100"/>
      <c r="E242" s="64"/>
      <c r="F242" s="65"/>
      <c r="G242" s="60">
        <f>'MOUVEMENTS ENTREE'!D233+'MOUVEMENTS ENTREE'!E233+'MOUVEMENTS ENTREE'!F233+'MOUVEMENTS ENTREE'!G233+'MOUVEMENTS ENTREE'!H233+'MOUVEMENTS ENTREE'!I233</f>
        <v>0</v>
      </c>
      <c r="H242" s="66">
        <f>'MVMTS SORTIES &amp; FABRICATIONS'!D233+'MVMTS SORTIES &amp; FABRICATIONS'!E233+'MVMTS SORTIES &amp; FABRICATIONS'!F233+'MVMTS SORTIES &amp; FABRICATIONS'!G233+'MVMTS SORTIES &amp; FABRICATIONS'!H233+'MVMTS SORTIES &amp; FABRICATIONS'!I233+'MVMTS SORTIES &amp; FABRICATIONS'!J233+'VENTES FRANCE'!D233+'VENTES FRANCE'!E233+'VENTES FRANCE'!F233+'VENTES FRANCE'!G233+'VENTES FRANCE'!H233+'VENTES EXPORT &amp; VINS VINES'!D232+'VENTES EXPORT &amp; VINS VINES'!E232+'VENTES EXPORT &amp; VINS VINES'!F232+'VENTES EXPORT &amp; VINS VINES'!G232</f>
        <v>0</v>
      </c>
      <c r="I242" s="66">
        <f t="shared" si="3"/>
        <v>0</v>
      </c>
      <c r="J242" s="97">
        <v>0</v>
      </c>
    </row>
    <row r="243" spans="1:10" x14ac:dyDescent="0.2">
      <c r="A243" s="47"/>
      <c r="B243" s="48"/>
      <c r="C243" s="49"/>
      <c r="D243" s="100"/>
      <c r="E243" s="64"/>
      <c r="F243" s="65"/>
      <c r="G243" s="60">
        <f>'MOUVEMENTS ENTREE'!D234+'MOUVEMENTS ENTREE'!E234+'MOUVEMENTS ENTREE'!F234+'MOUVEMENTS ENTREE'!G234+'MOUVEMENTS ENTREE'!H234+'MOUVEMENTS ENTREE'!I234</f>
        <v>0</v>
      </c>
      <c r="H243" s="66">
        <f>'MVMTS SORTIES &amp; FABRICATIONS'!D234+'MVMTS SORTIES &amp; FABRICATIONS'!E234+'MVMTS SORTIES &amp; FABRICATIONS'!F234+'MVMTS SORTIES &amp; FABRICATIONS'!G234+'MVMTS SORTIES &amp; FABRICATIONS'!H234+'MVMTS SORTIES &amp; FABRICATIONS'!I234+'MVMTS SORTIES &amp; FABRICATIONS'!J234+'VENTES FRANCE'!D234+'VENTES FRANCE'!E234+'VENTES FRANCE'!F234+'VENTES FRANCE'!G234+'VENTES FRANCE'!H234+'VENTES EXPORT &amp; VINS VINES'!D233+'VENTES EXPORT &amp; VINS VINES'!E233+'VENTES EXPORT &amp; VINS VINES'!F233+'VENTES EXPORT &amp; VINS VINES'!G233</f>
        <v>0</v>
      </c>
      <c r="I243" s="66">
        <f t="shared" si="3"/>
        <v>0</v>
      </c>
      <c r="J243" s="97">
        <v>0</v>
      </c>
    </row>
    <row r="244" spans="1:10" x14ac:dyDescent="0.2">
      <c r="A244" s="47"/>
      <c r="B244" s="48"/>
      <c r="C244" s="49"/>
      <c r="D244" s="100"/>
      <c r="E244" s="64"/>
      <c r="F244" s="65"/>
      <c r="G244" s="60">
        <f>'MOUVEMENTS ENTREE'!D235+'MOUVEMENTS ENTREE'!E235+'MOUVEMENTS ENTREE'!F235+'MOUVEMENTS ENTREE'!G235+'MOUVEMENTS ENTREE'!H235+'MOUVEMENTS ENTREE'!I235</f>
        <v>0</v>
      </c>
      <c r="H244" s="66">
        <f>'MVMTS SORTIES &amp; FABRICATIONS'!D235+'MVMTS SORTIES &amp; FABRICATIONS'!E235+'MVMTS SORTIES &amp; FABRICATIONS'!F235+'MVMTS SORTIES &amp; FABRICATIONS'!G235+'MVMTS SORTIES &amp; FABRICATIONS'!H235+'MVMTS SORTIES &amp; FABRICATIONS'!I235+'MVMTS SORTIES &amp; FABRICATIONS'!J235+'VENTES FRANCE'!D235+'VENTES FRANCE'!E235+'VENTES FRANCE'!F235+'VENTES FRANCE'!G235+'VENTES FRANCE'!H235+'VENTES EXPORT &amp; VINS VINES'!D234+'VENTES EXPORT &amp; VINS VINES'!E234+'VENTES EXPORT &amp; VINS VINES'!F234+'VENTES EXPORT &amp; VINS VINES'!G234</f>
        <v>0</v>
      </c>
      <c r="I244" s="66">
        <f t="shared" si="3"/>
        <v>0</v>
      </c>
      <c r="J244" s="97">
        <v>0</v>
      </c>
    </row>
    <row r="245" spans="1:10" x14ac:dyDescent="0.2">
      <c r="A245" s="47"/>
      <c r="B245" s="48"/>
      <c r="C245" s="49"/>
      <c r="D245" s="100"/>
      <c r="E245" s="64"/>
      <c r="F245" s="65"/>
      <c r="G245" s="60">
        <f>'MOUVEMENTS ENTREE'!D236+'MOUVEMENTS ENTREE'!E236+'MOUVEMENTS ENTREE'!F236+'MOUVEMENTS ENTREE'!G236+'MOUVEMENTS ENTREE'!H236+'MOUVEMENTS ENTREE'!I236</f>
        <v>0</v>
      </c>
      <c r="H245" s="66">
        <f>'MVMTS SORTIES &amp; FABRICATIONS'!D236+'MVMTS SORTIES &amp; FABRICATIONS'!E236+'MVMTS SORTIES &amp; FABRICATIONS'!F236+'MVMTS SORTIES &amp; FABRICATIONS'!G236+'MVMTS SORTIES &amp; FABRICATIONS'!H236+'MVMTS SORTIES &amp; FABRICATIONS'!I236+'MVMTS SORTIES &amp; FABRICATIONS'!J236+'VENTES FRANCE'!D236+'VENTES FRANCE'!E236+'VENTES FRANCE'!F236+'VENTES FRANCE'!G236+'VENTES FRANCE'!H236+'VENTES EXPORT &amp; VINS VINES'!D235+'VENTES EXPORT &amp; VINS VINES'!E235+'VENTES EXPORT &amp; VINS VINES'!F235+'VENTES EXPORT &amp; VINS VINES'!G235</f>
        <v>0</v>
      </c>
      <c r="I245" s="66">
        <f t="shared" si="3"/>
        <v>0</v>
      </c>
      <c r="J245" s="97">
        <v>0</v>
      </c>
    </row>
    <row r="246" spans="1:10" x14ac:dyDescent="0.2">
      <c r="A246" s="47"/>
      <c r="B246" s="48"/>
      <c r="C246" s="49"/>
      <c r="D246" s="100"/>
      <c r="E246" s="64"/>
      <c r="F246" s="65"/>
      <c r="G246" s="60">
        <f>'MOUVEMENTS ENTREE'!D237+'MOUVEMENTS ENTREE'!E237+'MOUVEMENTS ENTREE'!F237+'MOUVEMENTS ENTREE'!G237+'MOUVEMENTS ENTREE'!H237+'MOUVEMENTS ENTREE'!I237</f>
        <v>0</v>
      </c>
      <c r="H246" s="66">
        <f>'MVMTS SORTIES &amp; FABRICATIONS'!D237+'MVMTS SORTIES &amp; FABRICATIONS'!E237+'MVMTS SORTIES &amp; FABRICATIONS'!F237+'MVMTS SORTIES &amp; FABRICATIONS'!G237+'MVMTS SORTIES &amp; FABRICATIONS'!H237+'MVMTS SORTIES &amp; FABRICATIONS'!I237+'MVMTS SORTIES &amp; FABRICATIONS'!J237+'VENTES FRANCE'!D237+'VENTES FRANCE'!E237+'VENTES FRANCE'!F237+'VENTES FRANCE'!G237+'VENTES FRANCE'!H237+'VENTES EXPORT &amp; VINS VINES'!D236+'VENTES EXPORT &amp; VINS VINES'!E236+'VENTES EXPORT &amp; VINS VINES'!F236+'VENTES EXPORT &amp; VINS VINES'!G236</f>
        <v>0</v>
      </c>
      <c r="I246" s="66">
        <f t="shared" si="3"/>
        <v>0</v>
      </c>
      <c r="J246" s="97">
        <v>0</v>
      </c>
    </row>
    <row r="247" spans="1:10" x14ac:dyDescent="0.2">
      <c r="A247" s="47"/>
      <c r="B247" s="48"/>
      <c r="C247" s="49"/>
      <c r="D247" s="100"/>
      <c r="E247" s="64"/>
      <c r="F247" s="65"/>
      <c r="G247" s="60">
        <f>'MOUVEMENTS ENTREE'!D238+'MOUVEMENTS ENTREE'!E238+'MOUVEMENTS ENTREE'!F238+'MOUVEMENTS ENTREE'!G238+'MOUVEMENTS ENTREE'!H238+'MOUVEMENTS ENTREE'!I238</f>
        <v>0</v>
      </c>
      <c r="H247" s="66">
        <f>'MVMTS SORTIES &amp; FABRICATIONS'!D238+'MVMTS SORTIES &amp; FABRICATIONS'!E238+'MVMTS SORTIES &amp; FABRICATIONS'!F238+'MVMTS SORTIES &amp; FABRICATIONS'!G238+'MVMTS SORTIES &amp; FABRICATIONS'!H238+'MVMTS SORTIES &amp; FABRICATIONS'!I238+'MVMTS SORTIES &amp; FABRICATIONS'!J238+'VENTES FRANCE'!D238+'VENTES FRANCE'!E238+'VENTES FRANCE'!F238+'VENTES FRANCE'!G238+'VENTES FRANCE'!H238+'VENTES EXPORT &amp; VINS VINES'!D237+'VENTES EXPORT &amp; VINS VINES'!E237+'VENTES EXPORT &amp; VINS VINES'!F237+'VENTES EXPORT &amp; VINS VINES'!G237</f>
        <v>0</v>
      </c>
      <c r="I247" s="66">
        <f t="shared" si="3"/>
        <v>0</v>
      </c>
      <c r="J247" s="97">
        <v>0</v>
      </c>
    </row>
    <row r="248" spans="1:10" x14ac:dyDescent="0.2">
      <c r="A248" s="47"/>
      <c r="B248" s="48"/>
      <c r="C248" s="49"/>
      <c r="D248" s="100"/>
      <c r="E248" s="64"/>
      <c r="F248" s="65"/>
      <c r="G248" s="60">
        <f>'MOUVEMENTS ENTREE'!D239+'MOUVEMENTS ENTREE'!E239+'MOUVEMENTS ENTREE'!F239+'MOUVEMENTS ENTREE'!G239+'MOUVEMENTS ENTREE'!H239+'MOUVEMENTS ENTREE'!I239</f>
        <v>0</v>
      </c>
      <c r="H248" s="66">
        <f>'MVMTS SORTIES &amp; FABRICATIONS'!D239+'MVMTS SORTIES &amp; FABRICATIONS'!E239+'MVMTS SORTIES &amp; FABRICATIONS'!F239+'MVMTS SORTIES &amp; FABRICATIONS'!G239+'MVMTS SORTIES &amp; FABRICATIONS'!H239+'MVMTS SORTIES &amp; FABRICATIONS'!I239+'MVMTS SORTIES &amp; FABRICATIONS'!J239+'VENTES FRANCE'!D239+'VENTES FRANCE'!E239+'VENTES FRANCE'!F239+'VENTES FRANCE'!G239+'VENTES FRANCE'!H239+'VENTES EXPORT &amp; VINS VINES'!D238+'VENTES EXPORT &amp; VINS VINES'!E238+'VENTES EXPORT &amp; VINS VINES'!F238+'VENTES EXPORT &amp; VINS VINES'!G238</f>
        <v>0</v>
      </c>
      <c r="I248" s="66">
        <f t="shared" si="3"/>
        <v>0</v>
      </c>
      <c r="J248" s="97">
        <v>0</v>
      </c>
    </row>
    <row r="249" spans="1:10" x14ac:dyDescent="0.2">
      <c r="A249" s="47"/>
      <c r="B249" s="48"/>
      <c r="C249" s="49"/>
      <c r="D249" s="100"/>
      <c r="E249" s="64"/>
      <c r="F249" s="65"/>
      <c r="G249" s="60">
        <f>'MOUVEMENTS ENTREE'!D240+'MOUVEMENTS ENTREE'!E240+'MOUVEMENTS ENTREE'!F240+'MOUVEMENTS ENTREE'!G240+'MOUVEMENTS ENTREE'!H240+'MOUVEMENTS ENTREE'!I240</f>
        <v>0</v>
      </c>
      <c r="H249" s="66">
        <f>'MVMTS SORTIES &amp; FABRICATIONS'!D240+'MVMTS SORTIES &amp; FABRICATIONS'!E240+'MVMTS SORTIES &amp; FABRICATIONS'!F240+'MVMTS SORTIES &amp; FABRICATIONS'!G240+'MVMTS SORTIES &amp; FABRICATIONS'!H240+'MVMTS SORTIES &amp; FABRICATIONS'!I240+'MVMTS SORTIES &amp; FABRICATIONS'!J240+'VENTES FRANCE'!D240+'VENTES FRANCE'!E240+'VENTES FRANCE'!F240+'VENTES FRANCE'!G240+'VENTES FRANCE'!H240+'VENTES EXPORT &amp; VINS VINES'!D239+'VENTES EXPORT &amp; VINS VINES'!E239+'VENTES EXPORT &amp; VINS VINES'!F239+'VENTES EXPORT &amp; VINS VINES'!G239</f>
        <v>0</v>
      </c>
      <c r="I249" s="66">
        <f t="shared" si="3"/>
        <v>0</v>
      </c>
      <c r="J249" s="97">
        <v>0</v>
      </c>
    </row>
    <row r="250" spans="1:10" x14ac:dyDescent="0.2">
      <c r="A250" s="47"/>
      <c r="B250" s="48"/>
      <c r="C250" s="49"/>
      <c r="D250" s="100"/>
      <c r="E250" s="64"/>
      <c r="F250" s="65"/>
      <c r="G250" s="60">
        <f>'MOUVEMENTS ENTREE'!D241+'MOUVEMENTS ENTREE'!E241+'MOUVEMENTS ENTREE'!F241+'MOUVEMENTS ENTREE'!G241+'MOUVEMENTS ENTREE'!H241+'MOUVEMENTS ENTREE'!I241</f>
        <v>0</v>
      </c>
      <c r="H250" s="66">
        <f>'MVMTS SORTIES &amp; FABRICATIONS'!D241+'MVMTS SORTIES &amp; FABRICATIONS'!E241+'MVMTS SORTIES &amp; FABRICATIONS'!F241+'MVMTS SORTIES &amp; FABRICATIONS'!G241+'MVMTS SORTIES &amp; FABRICATIONS'!H241+'MVMTS SORTIES &amp; FABRICATIONS'!I241+'MVMTS SORTIES &amp; FABRICATIONS'!J241+'VENTES FRANCE'!D241+'VENTES FRANCE'!E241+'VENTES FRANCE'!F241+'VENTES FRANCE'!G241+'VENTES FRANCE'!H241+'VENTES EXPORT &amp; VINS VINES'!D240+'VENTES EXPORT &amp; VINS VINES'!E240+'VENTES EXPORT &amp; VINS VINES'!F240+'VENTES EXPORT &amp; VINS VINES'!G240</f>
        <v>0</v>
      </c>
      <c r="I250" s="66">
        <f t="shared" si="3"/>
        <v>0</v>
      </c>
      <c r="J250" s="97">
        <v>0</v>
      </c>
    </row>
    <row r="251" spans="1:10" x14ac:dyDescent="0.2">
      <c r="A251" s="47"/>
      <c r="B251" s="48"/>
      <c r="C251" s="49"/>
      <c r="D251" s="100"/>
      <c r="E251" s="64"/>
      <c r="F251" s="65"/>
      <c r="G251" s="60">
        <f>'MOUVEMENTS ENTREE'!D242+'MOUVEMENTS ENTREE'!E242+'MOUVEMENTS ENTREE'!F242+'MOUVEMENTS ENTREE'!G242+'MOUVEMENTS ENTREE'!H242+'MOUVEMENTS ENTREE'!I242</f>
        <v>0</v>
      </c>
      <c r="H251" s="66">
        <f>'MVMTS SORTIES &amp; FABRICATIONS'!D242+'MVMTS SORTIES &amp; FABRICATIONS'!E242+'MVMTS SORTIES &amp; FABRICATIONS'!F242+'MVMTS SORTIES &amp; FABRICATIONS'!G242+'MVMTS SORTIES &amp; FABRICATIONS'!H242+'MVMTS SORTIES &amp; FABRICATIONS'!I242+'MVMTS SORTIES &amp; FABRICATIONS'!J242+'VENTES FRANCE'!D242+'VENTES FRANCE'!E242+'VENTES FRANCE'!F242+'VENTES FRANCE'!G242+'VENTES FRANCE'!H242+'VENTES EXPORT &amp; VINS VINES'!D241+'VENTES EXPORT &amp; VINS VINES'!E241+'VENTES EXPORT &amp; VINS VINES'!F241+'VENTES EXPORT &amp; VINS VINES'!G241</f>
        <v>0</v>
      </c>
      <c r="I251" s="66">
        <f t="shared" si="3"/>
        <v>0</v>
      </c>
      <c r="J251" s="97">
        <v>0</v>
      </c>
    </row>
    <row r="252" spans="1:10" x14ac:dyDescent="0.2">
      <c r="A252" s="47"/>
      <c r="B252" s="48"/>
      <c r="C252" s="49"/>
      <c r="D252" s="100"/>
      <c r="E252" s="64"/>
      <c r="F252" s="65"/>
      <c r="G252" s="60">
        <f>'MOUVEMENTS ENTREE'!D243+'MOUVEMENTS ENTREE'!E243+'MOUVEMENTS ENTREE'!F243+'MOUVEMENTS ENTREE'!G243+'MOUVEMENTS ENTREE'!H243+'MOUVEMENTS ENTREE'!I243</f>
        <v>0</v>
      </c>
      <c r="H252" s="66">
        <f>'MVMTS SORTIES &amp; FABRICATIONS'!D243+'MVMTS SORTIES &amp; FABRICATIONS'!E243+'MVMTS SORTIES &amp; FABRICATIONS'!F243+'MVMTS SORTIES &amp; FABRICATIONS'!G243+'MVMTS SORTIES &amp; FABRICATIONS'!H243+'MVMTS SORTIES &amp; FABRICATIONS'!I243+'MVMTS SORTIES &amp; FABRICATIONS'!J243+'VENTES FRANCE'!D243+'VENTES FRANCE'!E243+'VENTES FRANCE'!F243+'VENTES FRANCE'!G243+'VENTES FRANCE'!H243+'VENTES EXPORT &amp; VINS VINES'!D242+'VENTES EXPORT &amp; VINS VINES'!E242+'VENTES EXPORT &amp; VINS VINES'!F242+'VENTES EXPORT &amp; VINS VINES'!G242</f>
        <v>0</v>
      </c>
      <c r="I252" s="66">
        <f t="shared" si="3"/>
        <v>0</v>
      </c>
      <c r="J252" s="97">
        <v>0</v>
      </c>
    </row>
    <row r="253" spans="1:10" x14ac:dyDescent="0.2">
      <c r="A253" s="47"/>
      <c r="B253" s="48"/>
      <c r="C253" s="49"/>
      <c r="D253" s="100"/>
      <c r="E253" s="64"/>
      <c r="F253" s="65"/>
      <c r="G253" s="60">
        <f>'MOUVEMENTS ENTREE'!D244+'MOUVEMENTS ENTREE'!E244+'MOUVEMENTS ENTREE'!F244+'MOUVEMENTS ENTREE'!G244+'MOUVEMENTS ENTREE'!H244+'MOUVEMENTS ENTREE'!I244</f>
        <v>0</v>
      </c>
      <c r="H253" s="66">
        <f>'MVMTS SORTIES &amp; FABRICATIONS'!D244+'MVMTS SORTIES &amp; FABRICATIONS'!E244+'MVMTS SORTIES &amp; FABRICATIONS'!F244+'MVMTS SORTIES &amp; FABRICATIONS'!G244+'MVMTS SORTIES &amp; FABRICATIONS'!H244+'MVMTS SORTIES &amp; FABRICATIONS'!I244+'MVMTS SORTIES &amp; FABRICATIONS'!J244+'VENTES FRANCE'!D244+'VENTES FRANCE'!E244+'VENTES FRANCE'!F244+'VENTES FRANCE'!G244+'VENTES FRANCE'!H244+'VENTES EXPORT &amp; VINS VINES'!D243+'VENTES EXPORT &amp; VINS VINES'!E243+'VENTES EXPORT &amp; VINS VINES'!F243+'VENTES EXPORT &amp; VINS VINES'!G243</f>
        <v>0</v>
      </c>
      <c r="I253" s="66">
        <f t="shared" si="3"/>
        <v>0</v>
      </c>
      <c r="J253" s="97">
        <v>0</v>
      </c>
    </row>
    <row r="254" spans="1:10" x14ac:dyDescent="0.2">
      <c r="A254" s="47"/>
      <c r="B254" s="48"/>
      <c r="C254" s="49"/>
      <c r="D254" s="100"/>
      <c r="E254" s="64"/>
      <c r="F254" s="65"/>
      <c r="G254" s="60">
        <f>'MOUVEMENTS ENTREE'!D245+'MOUVEMENTS ENTREE'!E245+'MOUVEMENTS ENTREE'!F245+'MOUVEMENTS ENTREE'!G245+'MOUVEMENTS ENTREE'!H245+'MOUVEMENTS ENTREE'!I245</f>
        <v>0</v>
      </c>
      <c r="H254" s="66">
        <f>'MVMTS SORTIES &amp; FABRICATIONS'!D245+'MVMTS SORTIES &amp; FABRICATIONS'!E245+'MVMTS SORTIES &amp; FABRICATIONS'!F245+'MVMTS SORTIES &amp; FABRICATIONS'!G245+'MVMTS SORTIES &amp; FABRICATIONS'!H245+'MVMTS SORTIES &amp; FABRICATIONS'!I245+'MVMTS SORTIES &amp; FABRICATIONS'!J245+'VENTES FRANCE'!D245+'VENTES FRANCE'!E245+'VENTES FRANCE'!F245+'VENTES FRANCE'!G245+'VENTES FRANCE'!H245+'VENTES EXPORT &amp; VINS VINES'!D244+'VENTES EXPORT &amp; VINS VINES'!E244+'VENTES EXPORT &amp; VINS VINES'!F244+'VENTES EXPORT &amp; VINS VINES'!G244</f>
        <v>0</v>
      </c>
      <c r="I254" s="66">
        <f t="shared" si="3"/>
        <v>0</v>
      </c>
      <c r="J254" s="97">
        <v>0</v>
      </c>
    </row>
    <row r="255" spans="1:10" x14ac:dyDescent="0.2">
      <c r="A255" s="47"/>
      <c r="B255" s="48"/>
      <c r="C255" s="49"/>
      <c r="D255" s="100"/>
      <c r="E255" s="64"/>
      <c r="F255" s="65"/>
      <c r="G255" s="60">
        <f>'MOUVEMENTS ENTREE'!D246+'MOUVEMENTS ENTREE'!E246+'MOUVEMENTS ENTREE'!F246+'MOUVEMENTS ENTREE'!G246+'MOUVEMENTS ENTREE'!H246+'MOUVEMENTS ENTREE'!I246</f>
        <v>0</v>
      </c>
      <c r="H255" s="66">
        <f>'MVMTS SORTIES &amp; FABRICATIONS'!D246+'MVMTS SORTIES &amp; FABRICATIONS'!E246+'MVMTS SORTIES &amp; FABRICATIONS'!F246+'MVMTS SORTIES &amp; FABRICATIONS'!G246+'MVMTS SORTIES &amp; FABRICATIONS'!H246+'MVMTS SORTIES &amp; FABRICATIONS'!I246+'MVMTS SORTIES &amp; FABRICATIONS'!J246+'VENTES FRANCE'!D246+'VENTES FRANCE'!E246+'VENTES FRANCE'!F246+'VENTES FRANCE'!G246+'VENTES FRANCE'!H246+'VENTES EXPORT &amp; VINS VINES'!D245+'VENTES EXPORT &amp; VINS VINES'!E245+'VENTES EXPORT &amp; VINS VINES'!F245+'VENTES EXPORT &amp; VINS VINES'!G245</f>
        <v>0</v>
      </c>
      <c r="I255" s="66">
        <f t="shared" si="3"/>
        <v>0</v>
      </c>
      <c r="J255" s="97">
        <v>0</v>
      </c>
    </row>
    <row r="256" spans="1:10" x14ac:dyDescent="0.2">
      <c r="A256" s="47"/>
      <c r="B256" s="48"/>
      <c r="C256" s="49"/>
      <c r="D256" s="100"/>
      <c r="E256" s="64"/>
      <c r="F256" s="65"/>
      <c r="G256" s="60">
        <f>'MOUVEMENTS ENTREE'!D247+'MOUVEMENTS ENTREE'!E247+'MOUVEMENTS ENTREE'!F247+'MOUVEMENTS ENTREE'!G247+'MOUVEMENTS ENTREE'!H247+'MOUVEMENTS ENTREE'!I247</f>
        <v>0</v>
      </c>
      <c r="H256" s="66">
        <f>'MVMTS SORTIES &amp; FABRICATIONS'!D247+'MVMTS SORTIES &amp; FABRICATIONS'!E247+'MVMTS SORTIES &amp; FABRICATIONS'!F247+'MVMTS SORTIES &amp; FABRICATIONS'!G247+'MVMTS SORTIES &amp; FABRICATIONS'!H247+'MVMTS SORTIES &amp; FABRICATIONS'!I247+'MVMTS SORTIES &amp; FABRICATIONS'!J247+'VENTES FRANCE'!D247+'VENTES FRANCE'!E247+'VENTES FRANCE'!F247+'VENTES FRANCE'!G247+'VENTES FRANCE'!H247+'VENTES EXPORT &amp; VINS VINES'!D246+'VENTES EXPORT &amp; VINS VINES'!E246+'VENTES EXPORT &amp; VINS VINES'!F246+'VENTES EXPORT &amp; VINS VINES'!G246</f>
        <v>0</v>
      </c>
      <c r="I256" s="66">
        <f t="shared" si="3"/>
        <v>0</v>
      </c>
      <c r="J256" s="97">
        <v>0</v>
      </c>
    </row>
    <row r="257" spans="1:10" x14ac:dyDescent="0.2">
      <c r="A257" s="47"/>
      <c r="B257" s="48"/>
      <c r="C257" s="49"/>
      <c r="D257" s="100"/>
      <c r="E257" s="64"/>
      <c r="F257" s="65"/>
      <c r="G257" s="60">
        <f>'MOUVEMENTS ENTREE'!D248+'MOUVEMENTS ENTREE'!E248+'MOUVEMENTS ENTREE'!F248+'MOUVEMENTS ENTREE'!G248+'MOUVEMENTS ENTREE'!H248+'MOUVEMENTS ENTREE'!I248</f>
        <v>0</v>
      </c>
      <c r="H257" s="66">
        <f>'MVMTS SORTIES &amp; FABRICATIONS'!D248+'MVMTS SORTIES &amp; FABRICATIONS'!E248+'MVMTS SORTIES &amp; FABRICATIONS'!F248+'MVMTS SORTIES &amp; FABRICATIONS'!G248+'MVMTS SORTIES &amp; FABRICATIONS'!H248+'MVMTS SORTIES &amp; FABRICATIONS'!I248+'MVMTS SORTIES &amp; FABRICATIONS'!J248+'VENTES FRANCE'!D248+'VENTES FRANCE'!E248+'VENTES FRANCE'!F248+'VENTES FRANCE'!G248+'VENTES FRANCE'!H248+'VENTES EXPORT &amp; VINS VINES'!D247+'VENTES EXPORT &amp; VINS VINES'!E247+'VENTES EXPORT &amp; VINS VINES'!F247+'VENTES EXPORT &amp; VINS VINES'!G247</f>
        <v>0</v>
      </c>
      <c r="I257" s="66">
        <f t="shared" si="3"/>
        <v>0</v>
      </c>
      <c r="J257" s="97">
        <v>0</v>
      </c>
    </row>
    <row r="258" spans="1:10" x14ac:dyDescent="0.2">
      <c r="A258" s="47"/>
      <c r="B258" s="48"/>
      <c r="C258" s="49"/>
      <c r="D258" s="100"/>
      <c r="E258" s="64"/>
      <c r="F258" s="65"/>
      <c r="G258" s="60">
        <f>'MOUVEMENTS ENTREE'!D249+'MOUVEMENTS ENTREE'!E249+'MOUVEMENTS ENTREE'!F249+'MOUVEMENTS ENTREE'!G249+'MOUVEMENTS ENTREE'!H249+'MOUVEMENTS ENTREE'!I249</f>
        <v>0</v>
      </c>
      <c r="H258" s="66">
        <f>'MVMTS SORTIES &amp; FABRICATIONS'!D249+'MVMTS SORTIES &amp; FABRICATIONS'!E249+'MVMTS SORTIES &amp; FABRICATIONS'!F249+'MVMTS SORTIES &amp; FABRICATIONS'!G249+'MVMTS SORTIES &amp; FABRICATIONS'!H249+'MVMTS SORTIES &amp; FABRICATIONS'!I249+'MVMTS SORTIES &amp; FABRICATIONS'!J249+'VENTES FRANCE'!D249+'VENTES FRANCE'!E249+'VENTES FRANCE'!F249+'VENTES FRANCE'!G249+'VENTES FRANCE'!H249+'VENTES EXPORT &amp; VINS VINES'!D248+'VENTES EXPORT &amp; VINS VINES'!E248+'VENTES EXPORT &amp; VINS VINES'!F248+'VENTES EXPORT &amp; VINS VINES'!G248</f>
        <v>0</v>
      </c>
      <c r="I258" s="66">
        <f t="shared" si="3"/>
        <v>0</v>
      </c>
      <c r="J258" s="97">
        <v>0</v>
      </c>
    </row>
    <row r="259" spans="1:10" x14ac:dyDescent="0.2">
      <c r="A259" s="47"/>
      <c r="B259" s="48"/>
      <c r="C259" s="49"/>
      <c r="D259" s="100"/>
      <c r="E259" s="64"/>
      <c r="F259" s="65"/>
      <c r="G259" s="60">
        <f>'MOUVEMENTS ENTREE'!D250+'MOUVEMENTS ENTREE'!E250+'MOUVEMENTS ENTREE'!F250+'MOUVEMENTS ENTREE'!G250+'MOUVEMENTS ENTREE'!H250+'MOUVEMENTS ENTREE'!I250</f>
        <v>0</v>
      </c>
      <c r="H259" s="66">
        <f>'MVMTS SORTIES &amp; FABRICATIONS'!D250+'MVMTS SORTIES &amp; FABRICATIONS'!E250+'MVMTS SORTIES &amp; FABRICATIONS'!F250+'MVMTS SORTIES &amp; FABRICATIONS'!G250+'MVMTS SORTIES &amp; FABRICATIONS'!H250+'MVMTS SORTIES &amp; FABRICATIONS'!I250+'MVMTS SORTIES &amp; FABRICATIONS'!J250+'VENTES FRANCE'!D250+'VENTES FRANCE'!E250+'VENTES FRANCE'!F250+'VENTES FRANCE'!G250+'VENTES FRANCE'!H250+'VENTES EXPORT &amp; VINS VINES'!D249+'VENTES EXPORT &amp; VINS VINES'!E249+'VENTES EXPORT &amp; VINS VINES'!F249+'VENTES EXPORT &amp; VINS VINES'!G249</f>
        <v>0</v>
      </c>
      <c r="I259" s="66">
        <f t="shared" si="3"/>
        <v>0</v>
      </c>
      <c r="J259" s="97">
        <v>0</v>
      </c>
    </row>
    <row r="260" spans="1:10" x14ac:dyDescent="0.2">
      <c r="A260" s="47"/>
      <c r="B260" s="48"/>
      <c r="C260" s="49"/>
      <c r="D260" s="100"/>
      <c r="E260" s="64"/>
      <c r="F260" s="65"/>
      <c r="G260" s="60">
        <f>'MOUVEMENTS ENTREE'!D251+'MOUVEMENTS ENTREE'!E251+'MOUVEMENTS ENTREE'!F251+'MOUVEMENTS ENTREE'!G251+'MOUVEMENTS ENTREE'!H251+'MOUVEMENTS ENTREE'!I251</f>
        <v>0</v>
      </c>
      <c r="H260" s="66">
        <f>'MVMTS SORTIES &amp; FABRICATIONS'!D251+'MVMTS SORTIES &amp; FABRICATIONS'!E251+'MVMTS SORTIES &amp; FABRICATIONS'!F251+'MVMTS SORTIES &amp; FABRICATIONS'!G251+'MVMTS SORTIES &amp; FABRICATIONS'!H251+'MVMTS SORTIES &amp; FABRICATIONS'!I251+'MVMTS SORTIES &amp; FABRICATIONS'!J251+'VENTES FRANCE'!D251+'VENTES FRANCE'!E251+'VENTES FRANCE'!F251+'VENTES FRANCE'!G251+'VENTES FRANCE'!H251+'VENTES EXPORT &amp; VINS VINES'!D250+'VENTES EXPORT &amp; VINS VINES'!E250+'VENTES EXPORT &amp; VINS VINES'!F250+'VENTES EXPORT &amp; VINS VINES'!G250</f>
        <v>0</v>
      </c>
      <c r="I260" s="66">
        <f t="shared" si="3"/>
        <v>0</v>
      </c>
      <c r="J260" s="97">
        <v>0</v>
      </c>
    </row>
    <row r="261" spans="1:10" x14ac:dyDescent="0.2">
      <c r="A261" s="47"/>
      <c r="B261" s="48"/>
      <c r="C261" s="49"/>
      <c r="D261" s="100"/>
      <c r="E261" s="64"/>
      <c r="F261" s="65"/>
      <c r="G261" s="60">
        <f>'MOUVEMENTS ENTREE'!D252+'MOUVEMENTS ENTREE'!E252+'MOUVEMENTS ENTREE'!F252+'MOUVEMENTS ENTREE'!G252+'MOUVEMENTS ENTREE'!H252+'MOUVEMENTS ENTREE'!I252</f>
        <v>0</v>
      </c>
      <c r="H261" s="66">
        <f>'MVMTS SORTIES &amp; FABRICATIONS'!D252+'MVMTS SORTIES &amp; FABRICATIONS'!E252+'MVMTS SORTIES &amp; FABRICATIONS'!F252+'MVMTS SORTIES &amp; FABRICATIONS'!G252+'MVMTS SORTIES &amp; FABRICATIONS'!H252+'MVMTS SORTIES &amp; FABRICATIONS'!I252+'MVMTS SORTIES &amp; FABRICATIONS'!J252+'VENTES FRANCE'!D252+'VENTES FRANCE'!E252+'VENTES FRANCE'!F252+'VENTES FRANCE'!G252+'VENTES FRANCE'!H252+'VENTES EXPORT &amp; VINS VINES'!D251+'VENTES EXPORT &amp; VINS VINES'!E251+'VENTES EXPORT &amp; VINS VINES'!F251+'VENTES EXPORT &amp; VINS VINES'!G251</f>
        <v>0</v>
      </c>
      <c r="I261" s="66">
        <f t="shared" si="3"/>
        <v>0</v>
      </c>
      <c r="J261" s="97">
        <v>0</v>
      </c>
    </row>
    <row r="262" spans="1:10" x14ac:dyDescent="0.2">
      <c r="A262" s="47"/>
      <c r="B262" s="48"/>
      <c r="C262" s="49"/>
      <c r="D262" s="100"/>
      <c r="E262" s="64"/>
      <c r="F262" s="65"/>
      <c r="G262" s="60">
        <f>'MOUVEMENTS ENTREE'!D253+'MOUVEMENTS ENTREE'!E253+'MOUVEMENTS ENTREE'!F253+'MOUVEMENTS ENTREE'!G253+'MOUVEMENTS ENTREE'!H253+'MOUVEMENTS ENTREE'!I253</f>
        <v>0</v>
      </c>
      <c r="H262" s="66">
        <f>'MVMTS SORTIES &amp; FABRICATIONS'!D253+'MVMTS SORTIES &amp; FABRICATIONS'!E253+'MVMTS SORTIES &amp; FABRICATIONS'!F253+'MVMTS SORTIES &amp; FABRICATIONS'!G253+'MVMTS SORTIES &amp; FABRICATIONS'!H253+'MVMTS SORTIES &amp; FABRICATIONS'!I253+'MVMTS SORTIES &amp; FABRICATIONS'!J253+'VENTES FRANCE'!D253+'VENTES FRANCE'!E253+'VENTES FRANCE'!F253+'VENTES FRANCE'!G253+'VENTES FRANCE'!H253+'VENTES EXPORT &amp; VINS VINES'!D252+'VENTES EXPORT &amp; VINS VINES'!E252+'VENTES EXPORT &amp; VINS VINES'!F252+'VENTES EXPORT &amp; VINS VINES'!G252</f>
        <v>0</v>
      </c>
      <c r="I262" s="66">
        <f t="shared" si="3"/>
        <v>0</v>
      </c>
      <c r="J262" s="97">
        <v>0</v>
      </c>
    </row>
    <row r="263" spans="1:10" x14ac:dyDescent="0.2">
      <c r="A263" s="47"/>
      <c r="B263" s="48"/>
      <c r="C263" s="49"/>
      <c r="D263" s="100"/>
      <c r="E263" s="64"/>
      <c r="F263" s="65"/>
      <c r="G263" s="60">
        <f>'MOUVEMENTS ENTREE'!D254+'MOUVEMENTS ENTREE'!E254+'MOUVEMENTS ENTREE'!F254+'MOUVEMENTS ENTREE'!G254+'MOUVEMENTS ENTREE'!H254+'MOUVEMENTS ENTREE'!I254</f>
        <v>0</v>
      </c>
      <c r="H263" s="66">
        <f>'MVMTS SORTIES &amp; FABRICATIONS'!D254+'MVMTS SORTIES &amp; FABRICATIONS'!E254+'MVMTS SORTIES &amp; FABRICATIONS'!F254+'MVMTS SORTIES &amp; FABRICATIONS'!G254+'MVMTS SORTIES &amp; FABRICATIONS'!H254+'MVMTS SORTIES &amp; FABRICATIONS'!I254+'MVMTS SORTIES &amp; FABRICATIONS'!J254+'VENTES FRANCE'!D254+'VENTES FRANCE'!E254+'VENTES FRANCE'!F254+'VENTES FRANCE'!G254+'VENTES FRANCE'!H254+'VENTES EXPORT &amp; VINS VINES'!D253+'VENTES EXPORT &amp; VINS VINES'!E253+'VENTES EXPORT &amp; VINS VINES'!F253+'VENTES EXPORT &amp; VINS VINES'!G253</f>
        <v>0</v>
      </c>
      <c r="I263" s="66">
        <f t="shared" si="3"/>
        <v>0</v>
      </c>
      <c r="J263" s="97">
        <v>0</v>
      </c>
    </row>
    <row r="264" spans="1:10" x14ac:dyDescent="0.2">
      <c r="A264" s="47"/>
      <c r="B264" s="48"/>
      <c r="C264" s="49"/>
      <c r="D264" s="100"/>
      <c r="E264" s="64"/>
      <c r="F264" s="65"/>
      <c r="G264" s="60">
        <f>'MOUVEMENTS ENTREE'!D255+'MOUVEMENTS ENTREE'!E255+'MOUVEMENTS ENTREE'!F255+'MOUVEMENTS ENTREE'!G255+'MOUVEMENTS ENTREE'!H255+'MOUVEMENTS ENTREE'!I255</f>
        <v>0</v>
      </c>
      <c r="H264" s="66">
        <f>'MVMTS SORTIES &amp; FABRICATIONS'!D255+'MVMTS SORTIES &amp; FABRICATIONS'!E255+'MVMTS SORTIES &amp; FABRICATIONS'!F255+'MVMTS SORTIES &amp; FABRICATIONS'!G255+'MVMTS SORTIES &amp; FABRICATIONS'!H255+'MVMTS SORTIES &amp; FABRICATIONS'!I255+'MVMTS SORTIES &amp; FABRICATIONS'!J255+'VENTES FRANCE'!D255+'VENTES FRANCE'!E255+'VENTES FRANCE'!F255+'VENTES FRANCE'!G255+'VENTES FRANCE'!H255+'VENTES EXPORT &amp; VINS VINES'!D254+'VENTES EXPORT &amp; VINS VINES'!E254+'VENTES EXPORT &amp; VINS VINES'!F254+'VENTES EXPORT &amp; VINS VINES'!G254</f>
        <v>0</v>
      </c>
      <c r="I264" s="66">
        <f t="shared" si="3"/>
        <v>0</v>
      </c>
      <c r="J264" s="97">
        <v>0</v>
      </c>
    </row>
    <row r="265" spans="1:10" x14ac:dyDescent="0.2">
      <c r="A265" s="47"/>
      <c r="B265" s="48"/>
      <c r="C265" s="49"/>
      <c r="D265" s="100"/>
      <c r="E265" s="64"/>
      <c r="F265" s="65"/>
      <c r="G265" s="60">
        <f>'MOUVEMENTS ENTREE'!D256+'MOUVEMENTS ENTREE'!E256+'MOUVEMENTS ENTREE'!F256+'MOUVEMENTS ENTREE'!G256+'MOUVEMENTS ENTREE'!H256+'MOUVEMENTS ENTREE'!I256</f>
        <v>0</v>
      </c>
      <c r="H265" s="66">
        <f>'MVMTS SORTIES &amp; FABRICATIONS'!D256+'MVMTS SORTIES &amp; FABRICATIONS'!E256+'MVMTS SORTIES &amp; FABRICATIONS'!F256+'MVMTS SORTIES &amp; FABRICATIONS'!G256+'MVMTS SORTIES &amp; FABRICATIONS'!H256+'MVMTS SORTIES &amp; FABRICATIONS'!I256+'MVMTS SORTIES &amp; FABRICATIONS'!J256+'VENTES FRANCE'!D256+'VENTES FRANCE'!E256+'VENTES FRANCE'!F256+'VENTES FRANCE'!G256+'VENTES FRANCE'!H256+'VENTES EXPORT &amp; VINS VINES'!D255+'VENTES EXPORT &amp; VINS VINES'!E255+'VENTES EXPORT &amp; VINS VINES'!F255+'VENTES EXPORT &amp; VINS VINES'!G255</f>
        <v>0</v>
      </c>
      <c r="I265" s="66">
        <f t="shared" si="3"/>
        <v>0</v>
      </c>
      <c r="J265" s="97">
        <v>0</v>
      </c>
    </row>
    <row r="266" spans="1:10" x14ac:dyDescent="0.2">
      <c r="A266" s="47"/>
      <c r="B266" s="48"/>
      <c r="C266" s="49"/>
      <c r="D266" s="100"/>
      <c r="E266" s="64"/>
      <c r="F266" s="65"/>
      <c r="G266" s="60">
        <f>'MOUVEMENTS ENTREE'!D257+'MOUVEMENTS ENTREE'!E257+'MOUVEMENTS ENTREE'!F257+'MOUVEMENTS ENTREE'!G257+'MOUVEMENTS ENTREE'!H257+'MOUVEMENTS ENTREE'!I257</f>
        <v>0</v>
      </c>
      <c r="H266" s="66">
        <f>'MVMTS SORTIES &amp; FABRICATIONS'!D257+'MVMTS SORTIES &amp; FABRICATIONS'!E257+'MVMTS SORTIES &amp; FABRICATIONS'!F257+'MVMTS SORTIES &amp; FABRICATIONS'!G257+'MVMTS SORTIES &amp; FABRICATIONS'!H257+'MVMTS SORTIES &amp; FABRICATIONS'!I257+'MVMTS SORTIES &amp; FABRICATIONS'!J257+'VENTES FRANCE'!D257+'VENTES FRANCE'!E257+'VENTES FRANCE'!F257+'VENTES FRANCE'!G257+'VENTES FRANCE'!H257+'VENTES EXPORT &amp; VINS VINES'!D256+'VENTES EXPORT &amp; VINS VINES'!E256+'VENTES EXPORT &amp; VINS VINES'!F256+'VENTES EXPORT &amp; VINS VINES'!G256</f>
        <v>0</v>
      </c>
      <c r="I266" s="66">
        <f t="shared" si="3"/>
        <v>0</v>
      </c>
      <c r="J266" s="97">
        <v>0</v>
      </c>
    </row>
    <row r="267" spans="1:10" ht="16" thickBot="1" x14ac:dyDescent="0.25">
      <c r="A267" s="47"/>
      <c r="B267" s="48"/>
      <c r="C267" s="49"/>
      <c r="D267" s="100"/>
      <c r="E267" s="64"/>
      <c r="F267" s="65"/>
      <c r="G267" s="67">
        <f>'MOUVEMENTS ENTREE'!D258+'MOUVEMENTS ENTREE'!E258+'MOUVEMENTS ENTREE'!F258+'MOUVEMENTS ENTREE'!G258+'MOUVEMENTS ENTREE'!H258+'MOUVEMENTS ENTREE'!I258</f>
        <v>0</v>
      </c>
      <c r="H267" s="68">
        <f>'MVMTS SORTIES &amp; FABRICATIONS'!D258+'MVMTS SORTIES &amp; FABRICATIONS'!E258+'MVMTS SORTIES &amp; FABRICATIONS'!F258+'MVMTS SORTIES &amp; FABRICATIONS'!G258+'MVMTS SORTIES &amp; FABRICATIONS'!H258+'MVMTS SORTIES &amp; FABRICATIONS'!I258+'MVMTS SORTIES &amp; FABRICATIONS'!J258+'VENTES FRANCE'!D258+'VENTES FRANCE'!E258+'VENTES FRANCE'!F258+'VENTES FRANCE'!G258+'VENTES FRANCE'!H258+'VENTES EXPORT &amp; VINS VINES'!D257+'VENTES EXPORT &amp; VINS VINES'!E257+'VENTES EXPORT &amp; VINS VINES'!F257+'VENTES EXPORT &amp; VINS VINES'!G257</f>
        <v>0</v>
      </c>
      <c r="I267" s="68">
        <f t="shared" si="3"/>
        <v>0</v>
      </c>
      <c r="J267" s="97">
        <v>0</v>
      </c>
    </row>
    <row r="268" spans="1:10" x14ac:dyDescent="0.2">
      <c r="A268" s="6" t="s">
        <v>21</v>
      </c>
      <c r="B268" s="7"/>
      <c r="C268" s="7"/>
      <c r="D268" s="81">
        <f>SUM(D18:D267)</f>
        <v>0</v>
      </c>
      <c r="E268" s="91">
        <f t="shared" ref="E268:I268" si="4">SUM(E18:E267)</f>
        <v>0</v>
      </c>
      <c r="F268" s="92">
        <f t="shared" si="4"/>
        <v>0</v>
      </c>
      <c r="G268" s="81">
        <f t="shared" si="4"/>
        <v>0</v>
      </c>
      <c r="H268" s="93">
        <f t="shared" si="4"/>
        <v>0</v>
      </c>
      <c r="I268" s="84">
        <f t="shared" si="4"/>
        <v>0</v>
      </c>
    </row>
    <row r="269" spans="1:10" s="14" customFormat="1" ht="12" thickBot="1" x14ac:dyDescent="0.2">
      <c r="A269" s="9" t="s">
        <v>22</v>
      </c>
      <c r="B269" s="10"/>
      <c r="C269" s="10"/>
      <c r="D269" s="11"/>
      <c r="E269" s="9" t="s">
        <v>23</v>
      </c>
      <c r="F269" s="10" t="s">
        <v>23</v>
      </c>
      <c r="G269" s="11" t="s">
        <v>23</v>
      </c>
      <c r="H269" s="12" t="s">
        <v>23</v>
      </c>
      <c r="I269" s="13" t="s">
        <v>23</v>
      </c>
    </row>
    <row r="270" spans="1:10" ht="12" customHeight="1" x14ac:dyDescent="0.2">
      <c r="A270" s="45" t="s">
        <v>24</v>
      </c>
    </row>
    <row r="271" spans="1:10" ht="10.5" customHeight="1" x14ac:dyDescent="0.2">
      <c r="A271" s="45" t="s">
        <v>25</v>
      </c>
    </row>
  </sheetData>
  <sheetProtection insertRows="0" selectLockedCells="1"/>
  <mergeCells count="18">
    <mergeCell ref="F8:I8"/>
    <mergeCell ref="F7:I7"/>
    <mergeCell ref="F1:I1"/>
    <mergeCell ref="F2:I2"/>
    <mergeCell ref="F3:I3"/>
    <mergeCell ref="I15:I16"/>
    <mergeCell ref="H16:H17"/>
    <mergeCell ref="G16:G17"/>
    <mergeCell ref="A14:H14"/>
    <mergeCell ref="F9:I9"/>
    <mergeCell ref="F10:I10"/>
    <mergeCell ref="F11:I11"/>
    <mergeCell ref="F12:I12"/>
    <mergeCell ref="E15:G15"/>
    <mergeCell ref="A15:A17"/>
    <mergeCell ref="B15:B17"/>
    <mergeCell ref="C15:C17"/>
    <mergeCell ref="D15:D16"/>
  </mergeCells>
  <conditionalFormatting sqref="I18">
    <cfRule type="cellIs" dxfId="4" priority="9" operator="lessThan">
      <formula>$J$18</formula>
    </cfRule>
  </conditionalFormatting>
  <conditionalFormatting sqref="I19:I20">
    <cfRule type="cellIs" dxfId="3" priority="5" operator="lessThan">
      <formula>$J$19</formula>
    </cfRule>
  </conditionalFormatting>
  <conditionalFormatting sqref="I27:I268">
    <cfRule type="cellIs" dxfId="2" priority="1" operator="lessThan">
      <formula>$J$18</formula>
    </cfRule>
  </conditionalFormatting>
  <pageMargins left="0.19685039370078741" right="0.19685039370078741" top="0.19685039370078741" bottom="0.15748031496062992" header="0.19685039370078741" footer="0.15748031496062992"/>
  <pageSetup paperSize="9" orientation="portrait" r:id="rId1"/>
  <ignoredErrors>
    <ignoredError sqref="D268:H268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2"/>
  <sheetViews>
    <sheetView showGridLines="0" workbookViewId="0">
      <pane ySplit="2840" topLeftCell="A12" activePane="bottomLeft"/>
      <selection activeCell="G1" sqref="G1"/>
      <selection pane="bottomLeft" activeCell="F40" sqref="F40"/>
    </sheetView>
  </sheetViews>
  <sheetFormatPr baseColWidth="10" defaultRowHeight="15" x14ac:dyDescent="0.2"/>
  <cols>
    <col min="1" max="1" width="13.1640625" customWidth="1"/>
    <col min="2" max="3" width="5" customWidth="1"/>
    <col min="4" max="9" width="12.5" customWidth="1"/>
    <col min="11" max="11" width="10.33203125" hidden="1" customWidth="1"/>
    <col min="12" max="12" width="10.5" hidden="1" customWidth="1"/>
  </cols>
  <sheetData>
    <row r="1" spans="1:12" ht="12.75" customHeight="1" x14ac:dyDescent="0.2">
      <c r="A1" s="8"/>
      <c r="B1" s="3"/>
      <c r="C1" s="3"/>
      <c r="E1" s="19" t="s">
        <v>19</v>
      </c>
      <c r="F1" s="19"/>
      <c r="G1" s="19">
        <f>RECAPITULATIF!H5</f>
        <v>0</v>
      </c>
      <c r="H1" s="19"/>
      <c r="I1" s="19"/>
      <c r="K1" s="19"/>
      <c r="L1" s="19" t="s">
        <v>19</v>
      </c>
    </row>
    <row r="2" spans="1:12" ht="12.75" customHeight="1" x14ac:dyDescent="0.2">
      <c r="A2" s="8"/>
      <c r="B2" s="3"/>
      <c r="C2" s="3"/>
      <c r="E2" s="19" t="s">
        <v>20</v>
      </c>
      <c r="F2" s="19"/>
      <c r="G2" s="19">
        <f>RECAPITULATIF!F7</f>
        <v>0</v>
      </c>
      <c r="H2" s="19"/>
      <c r="I2" s="19"/>
      <c r="K2" s="19"/>
      <c r="L2" s="19" t="s">
        <v>20</v>
      </c>
    </row>
    <row r="3" spans="1:12" x14ac:dyDescent="0.2">
      <c r="E3" s="19" t="s">
        <v>54</v>
      </c>
      <c r="F3" s="19"/>
      <c r="G3">
        <f>RECAPITULATIF!A8</f>
        <v>44197</v>
      </c>
      <c r="I3" s="29" t="s">
        <v>35</v>
      </c>
      <c r="K3" s="19"/>
      <c r="L3" s="19" t="s">
        <v>54</v>
      </c>
    </row>
    <row r="5" spans="1:12" ht="16" x14ac:dyDescent="0.2">
      <c r="A5" s="134" t="s">
        <v>26</v>
      </c>
      <c r="B5" s="134"/>
      <c r="C5" s="134"/>
      <c r="D5" s="134"/>
      <c r="E5" s="134"/>
      <c r="F5" s="134"/>
      <c r="G5" s="134"/>
      <c r="H5" s="134"/>
      <c r="I5" s="134"/>
    </row>
    <row r="6" spans="1:12" ht="18" customHeight="1" x14ac:dyDescent="0.2">
      <c r="A6" s="120" t="s">
        <v>8</v>
      </c>
      <c r="B6" s="123" t="s">
        <v>9</v>
      </c>
      <c r="C6" s="126" t="s">
        <v>10</v>
      </c>
      <c r="D6" s="135" t="s">
        <v>27</v>
      </c>
      <c r="E6" s="139" t="s">
        <v>28</v>
      </c>
      <c r="F6" s="139" t="s">
        <v>29</v>
      </c>
      <c r="G6" s="141" t="s">
        <v>30</v>
      </c>
      <c r="H6" s="142"/>
      <c r="I6" s="137" t="s">
        <v>33</v>
      </c>
      <c r="K6" s="139" t="s">
        <v>29</v>
      </c>
      <c r="L6" s="139" t="s">
        <v>28</v>
      </c>
    </row>
    <row r="7" spans="1:12" ht="22.5" customHeight="1" x14ac:dyDescent="0.2">
      <c r="A7" s="121"/>
      <c r="B7" s="124"/>
      <c r="C7" s="127"/>
      <c r="D7" s="136"/>
      <c r="E7" s="140"/>
      <c r="F7" s="140"/>
      <c r="G7" s="26" t="s">
        <v>31</v>
      </c>
      <c r="H7" s="27" t="s">
        <v>32</v>
      </c>
      <c r="I7" s="138"/>
      <c r="K7" s="140"/>
      <c r="L7" s="140"/>
    </row>
    <row r="8" spans="1:12" ht="16" thickBot="1" x14ac:dyDescent="0.25">
      <c r="A8" s="122"/>
      <c r="B8" s="125"/>
      <c r="C8" s="128"/>
      <c r="D8" s="20">
        <v>4</v>
      </c>
      <c r="E8" s="21">
        <v>5</v>
      </c>
      <c r="F8" s="21">
        <v>6</v>
      </c>
      <c r="G8" s="46">
        <v>7</v>
      </c>
      <c r="H8" s="25">
        <v>8</v>
      </c>
      <c r="I8" s="24">
        <v>9</v>
      </c>
      <c r="K8" s="21">
        <v>12</v>
      </c>
      <c r="L8" s="21">
        <v>11</v>
      </c>
    </row>
    <row r="9" spans="1:12" x14ac:dyDescent="0.2">
      <c r="A9" s="50" t="str">
        <f>IF(ISBLANK(RECAPITULATIF!A18),"",RECAPITULATIF!A18)</f>
        <v/>
      </c>
      <c r="B9" s="50" t="str">
        <f>IF(ISBLANK(RECAPITULATIF!B18),"",RECAPITULATIF!B18)</f>
        <v/>
      </c>
      <c r="C9" s="50" t="str">
        <f>IF(ISBLANK(RECAPITULATIF!C18),"",RECAPITULATIF!C18)</f>
        <v/>
      </c>
      <c r="D9" s="69"/>
      <c r="E9" s="70"/>
      <c r="F9" s="70"/>
      <c r="G9" s="71"/>
      <c r="H9" s="70"/>
      <c r="I9" s="72"/>
      <c r="K9" s="70">
        <f>'MVMTS SORTIES &amp; FABRICATIONS'!F9</f>
        <v>0</v>
      </c>
      <c r="L9" s="70">
        <f>'MVMTS SORTIES &amp; FABRICATIONS'!E9</f>
        <v>0</v>
      </c>
    </row>
    <row r="10" spans="1:12" x14ac:dyDescent="0.2">
      <c r="A10" s="50" t="str">
        <f>IF(ISBLANK(RECAPITULATIF!A19),"",RECAPITULATIF!A19)</f>
        <v/>
      </c>
      <c r="B10" s="50" t="str">
        <f>IF(ISBLANK(RECAPITULATIF!B19),"",RECAPITULATIF!B19)</f>
        <v/>
      </c>
      <c r="C10" s="50" t="str">
        <f>IF(ISBLANK(RECAPITULATIF!C19),"",RECAPITULATIF!C19)</f>
        <v/>
      </c>
      <c r="D10" s="69"/>
      <c r="E10" s="70"/>
      <c r="F10" s="70"/>
      <c r="G10" s="71"/>
      <c r="H10" s="70"/>
      <c r="I10" s="72"/>
      <c r="K10" s="70">
        <f>'MVMTS SORTIES &amp; FABRICATIONS'!F10</f>
        <v>0</v>
      </c>
      <c r="L10" s="70">
        <f>'MVMTS SORTIES &amp; FABRICATIONS'!E10</f>
        <v>0</v>
      </c>
    </row>
    <row r="11" spans="1:12" x14ac:dyDescent="0.2">
      <c r="A11" s="50" t="str">
        <f>IF(ISBLANK(RECAPITULATIF!A20),"",RECAPITULATIF!A20)</f>
        <v/>
      </c>
      <c r="B11" s="50" t="str">
        <f>IF(ISBLANK(RECAPITULATIF!B20),"",RECAPITULATIF!B20)</f>
        <v/>
      </c>
      <c r="C11" s="50" t="str">
        <f>IF(ISBLANK(RECAPITULATIF!C20),"",RECAPITULATIF!C20)</f>
        <v/>
      </c>
      <c r="D11" s="69"/>
      <c r="E11" s="70"/>
      <c r="F11" s="70"/>
      <c r="G11" s="71"/>
      <c r="H11" s="70"/>
      <c r="I11" s="72"/>
      <c r="K11" s="70">
        <f>'MVMTS SORTIES &amp; FABRICATIONS'!F11</f>
        <v>0</v>
      </c>
      <c r="L11" s="70">
        <f>'MVMTS SORTIES &amp; FABRICATIONS'!E11</f>
        <v>0</v>
      </c>
    </row>
    <row r="12" spans="1:12" x14ac:dyDescent="0.2">
      <c r="A12" s="50" t="str">
        <f>IF(ISBLANK(RECAPITULATIF!A21),"",RECAPITULATIF!A21)</f>
        <v/>
      </c>
      <c r="B12" s="50" t="str">
        <f>IF(ISBLANK(RECAPITULATIF!B21),"",RECAPITULATIF!B21)</f>
        <v/>
      </c>
      <c r="C12" s="50" t="str">
        <f>IF(ISBLANK(RECAPITULATIF!C21),"",RECAPITULATIF!C21)</f>
        <v/>
      </c>
      <c r="D12" s="69"/>
      <c r="E12" s="70"/>
      <c r="F12" s="70"/>
      <c r="G12" s="71"/>
      <c r="H12" s="70"/>
      <c r="I12" s="72"/>
      <c r="K12" s="70">
        <f>'MVMTS SORTIES &amp; FABRICATIONS'!F12</f>
        <v>0</v>
      </c>
      <c r="L12" s="70">
        <f>'MVMTS SORTIES &amp; FABRICATIONS'!E12</f>
        <v>0</v>
      </c>
    </row>
    <row r="13" spans="1:12" x14ac:dyDescent="0.2">
      <c r="A13" s="50" t="str">
        <f>IF(ISBLANK(RECAPITULATIF!A22),"",RECAPITULATIF!A22)</f>
        <v/>
      </c>
      <c r="B13" s="50" t="str">
        <f>IF(ISBLANK(RECAPITULATIF!B22),"",RECAPITULATIF!B22)</f>
        <v/>
      </c>
      <c r="C13" s="50" t="str">
        <f>IF(ISBLANK(RECAPITULATIF!C22),"",RECAPITULATIF!C22)</f>
        <v/>
      </c>
      <c r="D13" s="69"/>
      <c r="E13" s="70"/>
      <c r="F13" s="70"/>
      <c r="G13" s="71"/>
      <c r="H13" s="70"/>
      <c r="I13" s="72"/>
      <c r="K13" s="70">
        <f>'MVMTS SORTIES &amp; FABRICATIONS'!F13</f>
        <v>0</v>
      </c>
      <c r="L13" s="70">
        <f>'MVMTS SORTIES &amp; FABRICATIONS'!E13</f>
        <v>0</v>
      </c>
    </row>
    <row r="14" spans="1:12" x14ac:dyDescent="0.2">
      <c r="A14" s="50" t="str">
        <f>IF(ISBLANK(RECAPITULATIF!A23),"",RECAPITULATIF!A23)</f>
        <v/>
      </c>
      <c r="B14" s="50" t="str">
        <f>IF(ISBLANK(RECAPITULATIF!B23),"",RECAPITULATIF!B23)</f>
        <v/>
      </c>
      <c r="C14" s="50" t="str">
        <f>IF(ISBLANK(RECAPITULATIF!C23),"",RECAPITULATIF!C23)</f>
        <v/>
      </c>
      <c r="D14" s="69"/>
      <c r="E14" s="70"/>
      <c r="F14" s="70"/>
      <c r="G14" s="71"/>
      <c r="H14" s="70"/>
      <c r="I14" s="72"/>
      <c r="K14" s="70">
        <f>'MVMTS SORTIES &amp; FABRICATIONS'!F14</f>
        <v>0</v>
      </c>
      <c r="L14" s="70">
        <f>'MVMTS SORTIES &amp; FABRICATIONS'!E14</f>
        <v>0</v>
      </c>
    </row>
    <row r="15" spans="1:12" x14ac:dyDescent="0.2">
      <c r="A15" s="50" t="str">
        <f>IF(ISBLANK(RECAPITULATIF!A24),"",RECAPITULATIF!A24)</f>
        <v/>
      </c>
      <c r="B15" s="50" t="str">
        <f>IF(ISBLANK(RECAPITULATIF!B24),"",RECAPITULATIF!B24)</f>
        <v/>
      </c>
      <c r="C15" s="50" t="str">
        <f>IF(ISBLANK(RECAPITULATIF!C24),"",RECAPITULATIF!C24)</f>
        <v/>
      </c>
      <c r="D15" s="69"/>
      <c r="E15" s="70"/>
      <c r="F15" s="70"/>
      <c r="G15" s="71"/>
      <c r="H15" s="70"/>
      <c r="I15" s="72"/>
      <c r="K15" s="70">
        <f>'MVMTS SORTIES &amp; FABRICATIONS'!F15</f>
        <v>0</v>
      </c>
      <c r="L15" s="70">
        <f>'MVMTS SORTIES &amp; FABRICATIONS'!E15</f>
        <v>0</v>
      </c>
    </row>
    <row r="16" spans="1:12" x14ac:dyDescent="0.2">
      <c r="A16" s="50" t="str">
        <f>IF(ISBLANK(RECAPITULATIF!A25),"",RECAPITULATIF!A25)</f>
        <v/>
      </c>
      <c r="B16" s="50" t="str">
        <f>IF(ISBLANK(RECAPITULATIF!B25),"",RECAPITULATIF!B25)</f>
        <v/>
      </c>
      <c r="C16" s="50" t="str">
        <f>IF(ISBLANK(RECAPITULATIF!C25),"",RECAPITULATIF!C25)</f>
        <v/>
      </c>
      <c r="D16" s="69"/>
      <c r="E16" s="70"/>
      <c r="F16" s="70"/>
      <c r="G16" s="71"/>
      <c r="H16" s="70"/>
      <c r="I16" s="72"/>
      <c r="K16" s="70">
        <f>'MVMTS SORTIES &amp; FABRICATIONS'!F16</f>
        <v>0</v>
      </c>
      <c r="L16" s="70">
        <f>'MVMTS SORTIES &amp; FABRICATIONS'!E16</f>
        <v>0</v>
      </c>
    </row>
    <row r="17" spans="1:12" x14ac:dyDescent="0.2">
      <c r="A17" s="50" t="str">
        <f>IF(ISBLANK(RECAPITULATIF!A26),"",RECAPITULATIF!A26)</f>
        <v/>
      </c>
      <c r="B17" s="50" t="str">
        <f>IF(ISBLANK(RECAPITULATIF!B26),"",RECAPITULATIF!B26)</f>
        <v/>
      </c>
      <c r="C17" s="50" t="str">
        <f>IF(ISBLANK(RECAPITULATIF!C26),"",RECAPITULATIF!C26)</f>
        <v/>
      </c>
      <c r="D17" s="69"/>
      <c r="E17" s="70"/>
      <c r="F17" s="70"/>
      <c r="G17" s="71"/>
      <c r="H17" s="70"/>
      <c r="I17" s="72"/>
      <c r="K17" s="70">
        <f>'MVMTS SORTIES &amp; FABRICATIONS'!F17</f>
        <v>0</v>
      </c>
      <c r="L17" s="70">
        <f>'MVMTS SORTIES &amp; FABRICATIONS'!E17</f>
        <v>0</v>
      </c>
    </row>
    <row r="18" spans="1:12" x14ac:dyDescent="0.2">
      <c r="A18" s="50" t="str">
        <f>IF(ISBLANK(RECAPITULATIF!A27),"",RECAPITULATIF!A27)</f>
        <v/>
      </c>
      <c r="B18" s="50" t="str">
        <f>IF(ISBLANK(RECAPITULATIF!B27),"",RECAPITULATIF!B27)</f>
        <v/>
      </c>
      <c r="C18" s="50" t="str">
        <f>IF(ISBLANK(RECAPITULATIF!C27),"",RECAPITULATIF!C27)</f>
        <v/>
      </c>
      <c r="D18" s="69"/>
      <c r="E18" s="70"/>
      <c r="F18" s="70"/>
      <c r="G18" s="71"/>
      <c r="H18" s="70"/>
      <c r="I18" s="72"/>
      <c r="K18" s="70">
        <f>'MVMTS SORTIES &amp; FABRICATIONS'!F18</f>
        <v>0</v>
      </c>
      <c r="L18" s="70">
        <f>'MVMTS SORTIES &amp; FABRICATIONS'!E18</f>
        <v>0</v>
      </c>
    </row>
    <row r="19" spans="1:12" x14ac:dyDescent="0.2">
      <c r="A19" s="50" t="str">
        <f>IF(ISBLANK(RECAPITULATIF!A28),"",RECAPITULATIF!A28)</f>
        <v/>
      </c>
      <c r="B19" s="50" t="str">
        <f>IF(ISBLANK(RECAPITULATIF!B28),"",RECAPITULATIF!B28)</f>
        <v/>
      </c>
      <c r="C19" s="50" t="str">
        <f>IF(ISBLANK(RECAPITULATIF!C28),"",RECAPITULATIF!C28)</f>
        <v/>
      </c>
      <c r="D19" s="69"/>
      <c r="E19" s="70"/>
      <c r="F19" s="70"/>
      <c r="G19" s="71"/>
      <c r="H19" s="70"/>
      <c r="I19" s="72"/>
      <c r="K19" s="70">
        <f>'MVMTS SORTIES &amp; FABRICATIONS'!F19</f>
        <v>0</v>
      </c>
      <c r="L19" s="70">
        <f>'MVMTS SORTIES &amp; FABRICATIONS'!E19</f>
        <v>0</v>
      </c>
    </row>
    <row r="20" spans="1:12" x14ac:dyDescent="0.2">
      <c r="A20" s="50" t="str">
        <f>IF(ISBLANK(RECAPITULATIF!A29),"",RECAPITULATIF!A29)</f>
        <v/>
      </c>
      <c r="B20" s="50" t="str">
        <f>IF(ISBLANK(RECAPITULATIF!B29),"",RECAPITULATIF!B29)</f>
        <v/>
      </c>
      <c r="C20" s="50" t="str">
        <f>IF(ISBLANK(RECAPITULATIF!C29),"",RECAPITULATIF!C29)</f>
        <v/>
      </c>
      <c r="D20" s="69"/>
      <c r="E20" s="70"/>
      <c r="F20" s="70"/>
      <c r="G20" s="71"/>
      <c r="H20" s="70"/>
      <c r="I20" s="72"/>
      <c r="K20" s="70">
        <f>'MVMTS SORTIES &amp; FABRICATIONS'!F20</f>
        <v>0</v>
      </c>
      <c r="L20" s="70">
        <f>'MVMTS SORTIES &amp; FABRICATIONS'!E20</f>
        <v>0</v>
      </c>
    </row>
    <row r="21" spans="1:12" x14ac:dyDescent="0.2">
      <c r="A21" s="50" t="str">
        <f>IF(ISBLANK(RECAPITULATIF!A30),"",RECAPITULATIF!A30)</f>
        <v/>
      </c>
      <c r="B21" s="50" t="str">
        <f>IF(ISBLANK(RECAPITULATIF!B30),"",RECAPITULATIF!B30)</f>
        <v/>
      </c>
      <c r="C21" s="50" t="str">
        <f>IF(ISBLANK(RECAPITULATIF!C30),"",RECAPITULATIF!C30)</f>
        <v/>
      </c>
      <c r="D21" s="69"/>
      <c r="E21" s="70"/>
      <c r="F21" s="70"/>
      <c r="G21" s="71"/>
      <c r="H21" s="70"/>
      <c r="I21" s="72"/>
      <c r="K21" s="70">
        <f>'MVMTS SORTIES &amp; FABRICATIONS'!F21</f>
        <v>0</v>
      </c>
      <c r="L21" s="70">
        <f>'MVMTS SORTIES &amp; FABRICATIONS'!E21</f>
        <v>0</v>
      </c>
    </row>
    <row r="22" spans="1:12" x14ac:dyDescent="0.2">
      <c r="A22" s="50" t="str">
        <f>IF(ISBLANK(RECAPITULATIF!A31),"",RECAPITULATIF!A31)</f>
        <v/>
      </c>
      <c r="B22" s="50" t="str">
        <f>IF(ISBLANK(RECAPITULATIF!B31),"",RECAPITULATIF!B31)</f>
        <v/>
      </c>
      <c r="C22" s="50" t="str">
        <f>IF(ISBLANK(RECAPITULATIF!C31),"",RECAPITULATIF!C31)</f>
        <v/>
      </c>
      <c r="D22" s="69"/>
      <c r="E22" s="70"/>
      <c r="F22" s="70"/>
      <c r="G22" s="71"/>
      <c r="H22" s="70"/>
      <c r="I22" s="72"/>
      <c r="K22" s="70">
        <f>'MVMTS SORTIES &amp; FABRICATIONS'!F22</f>
        <v>0</v>
      </c>
      <c r="L22" s="70">
        <f>'MVMTS SORTIES &amp; FABRICATIONS'!E22</f>
        <v>0</v>
      </c>
    </row>
    <row r="23" spans="1:12" x14ac:dyDescent="0.2">
      <c r="A23" s="50" t="str">
        <f>IF(ISBLANK(RECAPITULATIF!A32),"",RECAPITULATIF!A32)</f>
        <v/>
      </c>
      <c r="B23" s="50" t="str">
        <f>IF(ISBLANK(RECAPITULATIF!B32),"",RECAPITULATIF!B32)</f>
        <v/>
      </c>
      <c r="C23" s="50" t="str">
        <f>IF(ISBLANK(RECAPITULATIF!C32),"",RECAPITULATIF!C32)</f>
        <v/>
      </c>
      <c r="D23" s="69"/>
      <c r="E23" s="70"/>
      <c r="F23" s="70"/>
      <c r="G23" s="71"/>
      <c r="H23" s="70"/>
      <c r="I23" s="72"/>
      <c r="K23" s="70">
        <f>'MVMTS SORTIES &amp; FABRICATIONS'!F23</f>
        <v>0</v>
      </c>
      <c r="L23" s="70">
        <f>'MVMTS SORTIES &amp; FABRICATIONS'!E23</f>
        <v>0</v>
      </c>
    </row>
    <row r="24" spans="1:12" x14ac:dyDescent="0.2">
      <c r="A24" s="50" t="str">
        <f>IF(ISBLANK(RECAPITULATIF!A33),"",RECAPITULATIF!A33)</f>
        <v/>
      </c>
      <c r="B24" s="50" t="str">
        <f>IF(ISBLANK(RECAPITULATIF!B33),"",RECAPITULATIF!B33)</f>
        <v/>
      </c>
      <c r="C24" s="50" t="str">
        <f>IF(ISBLANK(RECAPITULATIF!C33),"",RECAPITULATIF!C33)</f>
        <v/>
      </c>
      <c r="D24" s="69"/>
      <c r="E24" s="70"/>
      <c r="F24" s="70"/>
      <c r="G24" s="71"/>
      <c r="H24" s="70"/>
      <c r="I24" s="72"/>
      <c r="K24" s="70">
        <f>'MVMTS SORTIES &amp; FABRICATIONS'!F24</f>
        <v>0</v>
      </c>
      <c r="L24" s="70">
        <f>'MVMTS SORTIES &amp; FABRICATIONS'!E24</f>
        <v>0</v>
      </c>
    </row>
    <row r="25" spans="1:12" x14ac:dyDescent="0.2">
      <c r="A25" s="50" t="str">
        <f>IF(ISBLANK(RECAPITULATIF!A34),"",RECAPITULATIF!A34)</f>
        <v/>
      </c>
      <c r="B25" s="50" t="str">
        <f>IF(ISBLANK(RECAPITULATIF!B34),"",RECAPITULATIF!B34)</f>
        <v/>
      </c>
      <c r="C25" s="50" t="str">
        <f>IF(ISBLANK(RECAPITULATIF!C34),"",RECAPITULATIF!C34)</f>
        <v/>
      </c>
      <c r="D25" s="69"/>
      <c r="E25" s="70"/>
      <c r="F25" s="70"/>
      <c r="G25" s="71"/>
      <c r="H25" s="70"/>
      <c r="I25" s="72"/>
      <c r="K25" s="70">
        <f>'MVMTS SORTIES &amp; FABRICATIONS'!F25</f>
        <v>0</v>
      </c>
      <c r="L25" s="70">
        <f>'MVMTS SORTIES &amp; FABRICATIONS'!E25</f>
        <v>0</v>
      </c>
    </row>
    <row r="26" spans="1:12" x14ac:dyDescent="0.2">
      <c r="A26" s="50" t="str">
        <f>IF(ISBLANK(RECAPITULATIF!A35),"",RECAPITULATIF!A35)</f>
        <v/>
      </c>
      <c r="B26" s="50" t="str">
        <f>IF(ISBLANK(RECAPITULATIF!B35),"",RECAPITULATIF!B35)</f>
        <v/>
      </c>
      <c r="C26" s="50" t="str">
        <f>IF(ISBLANK(RECAPITULATIF!C35),"",RECAPITULATIF!C35)</f>
        <v/>
      </c>
      <c r="D26" s="69"/>
      <c r="E26" s="70"/>
      <c r="F26" s="70"/>
      <c r="G26" s="71"/>
      <c r="H26" s="70"/>
      <c r="I26" s="72"/>
      <c r="K26" s="70">
        <f>'MVMTS SORTIES &amp; FABRICATIONS'!F26</f>
        <v>0</v>
      </c>
      <c r="L26" s="70">
        <f>'MVMTS SORTIES &amp; FABRICATIONS'!E26</f>
        <v>0</v>
      </c>
    </row>
    <row r="27" spans="1:12" x14ac:dyDescent="0.2">
      <c r="A27" s="50" t="str">
        <f>IF(ISBLANK(RECAPITULATIF!A36),"",RECAPITULATIF!A36)</f>
        <v/>
      </c>
      <c r="B27" s="50" t="str">
        <f>IF(ISBLANK(RECAPITULATIF!B36),"",RECAPITULATIF!B36)</f>
        <v/>
      </c>
      <c r="C27" s="50" t="str">
        <f>IF(ISBLANK(RECAPITULATIF!C36),"",RECAPITULATIF!C36)</f>
        <v/>
      </c>
      <c r="D27" s="69"/>
      <c r="E27" s="70"/>
      <c r="F27" s="70"/>
      <c r="G27" s="71"/>
      <c r="H27" s="70"/>
      <c r="I27" s="72"/>
      <c r="K27" s="70">
        <f>'MVMTS SORTIES &amp; FABRICATIONS'!F27</f>
        <v>0</v>
      </c>
      <c r="L27" s="70">
        <f>'MVMTS SORTIES &amp; FABRICATIONS'!E27</f>
        <v>0</v>
      </c>
    </row>
    <row r="28" spans="1:12" x14ac:dyDescent="0.2">
      <c r="A28" s="50" t="str">
        <f>IF(ISBLANK(RECAPITULATIF!A37),"",RECAPITULATIF!A37)</f>
        <v/>
      </c>
      <c r="B28" s="50" t="str">
        <f>IF(ISBLANK(RECAPITULATIF!B37),"",RECAPITULATIF!B37)</f>
        <v/>
      </c>
      <c r="C28" s="50" t="str">
        <f>IF(ISBLANK(RECAPITULATIF!C37),"",RECAPITULATIF!C37)</f>
        <v/>
      </c>
      <c r="D28" s="69"/>
      <c r="E28" s="70"/>
      <c r="F28" s="70"/>
      <c r="G28" s="71"/>
      <c r="H28" s="70"/>
      <c r="I28" s="72"/>
      <c r="K28" s="70">
        <f>'MVMTS SORTIES &amp; FABRICATIONS'!F28</f>
        <v>0</v>
      </c>
      <c r="L28" s="70">
        <f>'MVMTS SORTIES &amp; FABRICATIONS'!E28</f>
        <v>0</v>
      </c>
    </row>
    <row r="29" spans="1:12" x14ac:dyDescent="0.2">
      <c r="A29" s="50" t="str">
        <f>IF(ISBLANK(RECAPITULATIF!A38),"",RECAPITULATIF!A38)</f>
        <v/>
      </c>
      <c r="B29" s="50" t="str">
        <f>IF(ISBLANK(RECAPITULATIF!B38),"",RECAPITULATIF!B38)</f>
        <v/>
      </c>
      <c r="C29" s="50" t="str">
        <f>IF(ISBLANK(RECAPITULATIF!C38),"",RECAPITULATIF!C38)</f>
        <v/>
      </c>
      <c r="D29" s="69"/>
      <c r="E29" s="70"/>
      <c r="F29" s="70"/>
      <c r="G29" s="71"/>
      <c r="H29" s="70"/>
      <c r="I29" s="72"/>
      <c r="K29" s="70">
        <f>'MVMTS SORTIES &amp; FABRICATIONS'!F29</f>
        <v>0</v>
      </c>
      <c r="L29" s="70">
        <f>'MVMTS SORTIES &amp; FABRICATIONS'!E29</f>
        <v>0</v>
      </c>
    </row>
    <row r="30" spans="1:12" x14ac:dyDescent="0.2">
      <c r="A30" s="50" t="str">
        <f>IF(ISBLANK(RECAPITULATIF!A39),"",RECAPITULATIF!A39)</f>
        <v/>
      </c>
      <c r="B30" s="50" t="str">
        <f>IF(ISBLANK(RECAPITULATIF!B39),"",RECAPITULATIF!B39)</f>
        <v/>
      </c>
      <c r="C30" s="50" t="str">
        <f>IF(ISBLANK(RECAPITULATIF!C39),"",RECAPITULATIF!C39)</f>
        <v/>
      </c>
      <c r="D30" s="69"/>
      <c r="E30" s="70"/>
      <c r="F30" s="70"/>
      <c r="G30" s="71"/>
      <c r="H30" s="70"/>
      <c r="I30" s="72"/>
      <c r="K30" s="70">
        <f>'MVMTS SORTIES &amp; FABRICATIONS'!F30</f>
        <v>0</v>
      </c>
      <c r="L30" s="70">
        <f>'MVMTS SORTIES &amp; FABRICATIONS'!E30</f>
        <v>0</v>
      </c>
    </row>
    <row r="31" spans="1:12" x14ac:dyDescent="0.2">
      <c r="A31" s="50" t="str">
        <f>IF(ISBLANK(RECAPITULATIF!A40),"",RECAPITULATIF!A40)</f>
        <v/>
      </c>
      <c r="B31" s="50" t="str">
        <f>IF(ISBLANK(RECAPITULATIF!B40),"",RECAPITULATIF!B40)</f>
        <v/>
      </c>
      <c r="C31" s="50" t="str">
        <f>IF(ISBLANK(RECAPITULATIF!C40),"",RECAPITULATIF!C40)</f>
        <v/>
      </c>
      <c r="D31" s="69"/>
      <c r="E31" s="70"/>
      <c r="F31" s="70"/>
      <c r="G31" s="71"/>
      <c r="H31" s="70"/>
      <c r="I31" s="72"/>
      <c r="K31" s="70">
        <f>'MVMTS SORTIES &amp; FABRICATIONS'!F31</f>
        <v>0</v>
      </c>
      <c r="L31" s="70">
        <f>'MVMTS SORTIES &amp; FABRICATIONS'!E31</f>
        <v>0</v>
      </c>
    </row>
    <row r="32" spans="1:12" x14ac:dyDescent="0.2">
      <c r="A32" s="50" t="str">
        <f>IF(ISBLANK(RECAPITULATIF!A41),"",RECAPITULATIF!A41)</f>
        <v/>
      </c>
      <c r="B32" s="50" t="str">
        <f>IF(ISBLANK(RECAPITULATIF!B41),"",RECAPITULATIF!B41)</f>
        <v/>
      </c>
      <c r="C32" s="50" t="str">
        <f>IF(ISBLANK(RECAPITULATIF!C41),"",RECAPITULATIF!C41)</f>
        <v/>
      </c>
      <c r="D32" s="69"/>
      <c r="E32" s="70"/>
      <c r="F32" s="70"/>
      <c r="G32" s="71"/>
      <c r="H32" s="70"/>
      <c r="I32" s="72"/>
      <c r="K32" s="70">
        <f>'MVMTS SORTIES &amp; FABRICATIONS'!F32</f>
        <v>0</v>
      </c>
      <c r="L32" s="70">
        <f>'MVMTS SORTIES &amp; FABRICATIONS'!E32</f>
        <v>0</v>
      </c>
    </row>
    <row r="33" spans="1:12" x14ac:dyDescent="0.2">
      <c r="A33" s="50" t="str">
        <f>IF(ISBLANK(RECAPITULATIF!A42),"",RECAPITULATIF!A42)</f>
        <v/>
      </c>
      <c r="B33" s="50" t="str">
        <f>IF(ISBLANK(RECAPITULATIF!B42),"",RECAPITULATIF!B42)</f>
        <v/>
      </c>
      <c r="C33" s="50" t="str">
        <f>IF(ISBLANK(RECAPITULATIF!C42),"",RECAPITULATIF!C42)</f>
        <v/>
      </c>
      <c r="D33" s="69"/>
      <c r="E33" s="70"/>
      <c r="F33" s="70"/>
      <c r="G33" s="71"/>
      <c r="H33" s="70"/>
      <c r="I33" s="72"/>
      <c r="K33" s="70">
        <f>'MVMTS SORTIES &amp; FABRICATIONS'!F33</f>
        <v>0</v>
      </c>
      <c r="L33" s="70">
        <f>'MVMTS SORTIES &amp; FABRICATIONS'!E33</f>
        <v>0</v>
      </c>
    </row>
    <row r="34" spans="1:12" x14ac:dyDescent="0.2">
      <c r="A34" s="50" t="str">
        <f>IF(ISBLANK(RECAPITULATIF!A43),"",RECAPITULATIF!A43)</f>
        <v/>
      </c>
      <c r="B34" s="50" t="str">
        <f>IF(ISBLANK(RECAPITULATIF!B43),"",RECAPITULATIF!B43)</f>
        <v/>
      </c>
      <c r="C34" s="50" t="str">
        <f>IF(ISBLANK(RECAPITULATIF!C43),"",RECAPITULATIF!C43)</f>
        <v/>
      </c>
      <c r="D34" s="69"/>
      <c r="E34" s="70"/>
      <c r="F34" s="70"/>
      <c r="G34" s="71"/>
      <c r="H34" s="70"/>
      <c r="I34" s="72"/>
      <c r="K34" s="70">
        <f>'MVMTS SORTIES &amp; FABRICATIONS'!F34</f>
        <v>0</v>
      </c>
      <c r="L34" s="70">
        <f>'MVMTS SORTIES &amp; FABRICATIONS'!E34</f>
        <v>0</v>
      </c>
    </row>
    <row r="35" spans="1:12" x14ac:dyDescent="0.2">
      <c r="A35" s="50" t="str">
        <f>IF(ISBLANK(RECAPITULATIF!A44),"",RECAPITULATIF!A44)</f>
        <v/>
      </c>
      <c r="B35" s="50" t="str">
        <f>IF(ISBLANK(RECAPITULATIF!B44),"",RECAPITULATIF!B44)</f>
        <v/>
      </c>
      <c r="C35" s="50" t="str">
        <f>IF(ISBLANK(RECAPITULATIF!C44),"",RECAPITULATIF!C44)</f>
        <v/>
      </c>
      <c r="D35" s="69"/>
      <c r="E35" s="70"/>
      <c r="F35" s="70"/>
      <c r="G35" s="71"/>
      <c r="H35" s="70"/>
      <c r="I35" s="72"/>
      <c r="K35" s="70">
        <f>'MVMTS SORTIES &amp; FABRICATIONS'!F35</f>
        <v>0</v>
      </c>
      <c r="L35" s="70">
        <f>'MVMTS SORTIES &amp; FABRICATIONS'!E35</f>
        <v>0</v>
      </c>
    </row>
    <row r="36" spans="1:12" x14ac:dyDescent="0.2">
      <c r="A36" s="50" t="str">
        <f>IF(ISBLANK(RECAPITULATIF!A45),"",RECAPITULATIF!A45)</f>
        <v/>
      </c>
      <c r="B36" s="50" t="str">
        <f>IF(ISBLANK(RECAPITULATIF!B45),"",RECAPITULATIF!B45)</f>
        <v/>
      </c>
      <c r="C36" s="50" t="str">
        <f>IF(ISBLANK(RECAPITULATIF!C45),"",RECAPITULATIF!C45)</f>
        <v/>
      </c>
      <c r="D36" s="69"/>
      <c r="E36" s="70"/>
      <c r="F36" s="70"/>
      <c r="G36" s="71"/>
      <c r="H36" s="70"/>
      <c r="I36" s="72"/>
      <c r="K36" s="70">
        <f>'MVMTS SORTIES &amp; FABRICATIONS'!F36</f>
        <v>0</v>
      </c>
      <c r="L36" s="70">
        <f>'MVMTS SORTIES &amp; FABRICATIONS'!E36</f>
        <v>0</v>
      </c>
    </row>
    <row r="37" spans="1:12" x14ac:dyDescent="0.2">
      <c r="A37" s="50" t="str">
        <f>IF(ISBLANK(RECAPITULATIF!A46),"",RECAPITULATIF!A46)</f>
        <v/>
      </c>
      <c r="B37" s="50" t="str">
        <f>IF(ISBLANK(RECAPITULATIF!B46),"",RECAPITULATIF!B46)</f>
        <v/>
      </c>
      <c r="C37" s="50" t="str">
        <f>IF(ISBLANK(RECAPITULATIF!C46),"",RECAPITULATIF!C46)</f>
        <v/>
      </c>
      <c r="D37" s="69"/>
      <c r="E37" s="70"/>
      <c r="F37" s="70"/>
      <c r="G37" s="71"/>
      <c r="H37" s="70"/>
      <c r="I37" s="72"/>
      <c r="K37" s="70">
        <f>'MVMTS SORTIES &amp; FABRICATIONS'!F37</f>
        <v>0</v>
      </c>
      <c r="L37" s="70">
        <f>'MVMTS SORTIES &amp; FABRICATIONS'!E37</f>
        <v>0</v>
      </c>
    </row>
    <row r="38" spans="1:12" x14ac:dyDescent="0.2">
      <c r="A38" s="50" t="str">
        <f>IF(ISBLANK(RECAPITULATIF!A47),"",RECAPITULATIF!A47)</f>
        <v/>
      </c>
      <c r="B38" s="50" t="str">
        <f>IF(ISBLANK(RECAPITULATIF!B47),"",RECAPITULATIF!B47)</f>
        <v/>
      </c>
      <c r="C38" s="50" t="str">
        <f>IF(ISBLANK(RECAPITULATIF!C47),"",RECAPITULATIF!C47)</f>
        <v/>
      </c>
      <c r="D38" s="69"/>
      <c r="E38" s="70"/>
      <c r="F38" s="70"/>
      <c r="G38" s="71"/>
      <c r="H38" s="70"/>
      <c r="I38" s="72"/>
      <c r="K38" s="70">
        <f>'MVMTS SORTIES &amp; FABRICATIONS'!F38</f>
        <v>0</v>
      </c>
      <c r="L38" s="70">
        <f>'MVMTS SORTIES &amp; FABRICATIONS'!E38</f>
        <v>0</v>
      </c>
    </row>
    <row r="39" spans="1:12" x14ac:dyDescent="0.2">
      <c r="A39" s="50" t="str">
        <f>IF(ISBLANK(RECAPITULATIF!A48),"",RECAPITULATIF!A48)</f>
        <v/>
      </c>
      <c r="B39" s="50" t="str">
        <f>IF(ISBLANK(RECAPITULATIF!B48),"",RECAPITULATIF!B48)</f>
        <v/>
      </c>
      <c r="C39" s="50" t="str">
        <f>IF(ISBLANK(RECAPITULATIF!C48),"",RECAPITULATIF!C48)</f>
        <v/>
      </c>
      <c r="D39" s="69"/>
      <c r="E39" s="70"/>
      <c r="F39" s="70"/>
      <c r="G39" s="71"/>
      <c r="H39" s="70"/>
      <c r="I39" s="72"/>
      <c r="K39" s="70">
        <f>'MVMTS SORTIES &amp; FABRICATIONS'!F39</f>
        <v>0</v>
      </c>
      <c r="L39" s="70">
        <f>'MVMTS SORTIES &amp; FABRICATIONS'!E39</f>
        <v>0</v>
      </c>
    </row>
    <row r="40" spans="1:12" x14ac:dyDescent="0.2">
      <c r="A40" s="50" t="str">
        <f>IF(ISBLANK(RECAPITULATIF!A49),"",RECAPITULATIF!A49)</f>
        <v/>
      </c>
      <c r="B40" s="50" t="str">
        <f>IF(ISBLANK(RECAPITULATIF!B49),"",RECAPITULATIF!B49)</f>
        <v/>
      </c>
      <c r="C40" s="50" t="str">
        <f>IF(ISBLANK(RECAPITULATIF!C49),"",RECAPITULATIF!C49)</f>
        <v/>
      </c>
      <c r="D40" s="69"/>
      <c r="E40" s="70"/>
      <c r="F40" s="70"/>
      <c r="G40" s="71"/>
      <c r="H40" s="70"/>
      <c r="I40" s="72"/>
      <c r="K40" s="70">
        <f>'MVMTS SORTIES &amp; FABRICATIONS'!F40</f>
        <v>0</v>
      </c>
      <c r="L40" s="70">
        <f>'MVMTS SORTIES &amp; FABRICATIONS'!E40</f>
        <v>0</v>
      </c>
    </row>
    <row r="41" spans="1:12" x14ac:dyDescent="0.2">
      <c r="A41" s="50" t="str">
        <f>IF(ISBLANK(RECAPITULATIF!A50),"",RECAPITULATIF!A50)</f>
        <v/>
      </c>
      <c r="B41" s="50" t="str">
        <f>IF(ISBLANK(RECAPITULATIF!B50),"",RECAPITULATIF!B50)</f>
        <v/>
      </c>
      <c r="C41" s="50" t="str">
        <f>IF(ISBLANK(RECAPITULATIF!C50),"",RECAPITULATIF!C50)</f>
        <v/>
      </c>
      <c r="D41" s="69"/>
      <c r="E41" s="70"/>
      <c r="F41" s="70"/>
      <c r="G41" s="71"/>
      <c r="H41" s="70"/>
      <c r="I41" s="72"/>
      <c r="K41" s="70">
        <f>'MVMTS SORTIES &amp; FABRICATIONS'!F41</f>
        <v>0</v>
      </c>
      <c r="L41" s="70">
        <f>'MVMTS SORTIES &amp; FABRICATIONS'!E41</f>
        <v>0</v>
      </c>
    </row>
    <row r="42" spans="1:12" x14ac:dyDescent="0.2">
      <c r="A42" s="50" t="str">
        <f>IF(ISBLANK(RECAPITULATIF!A51),"",RECAPITULATIF!A51)</f>
        <v/>
      </c>
      <c r="B42" s="50" t="str">
        <f>IF(ISBLANK(RECAPITULATIF!B51),"",RECAPITULATIF!B51)</f>
        <v/>
      </c>
      <c r="C42" s="50" t="str">
        <f>IF(ISBLANK(RECAPITULATIF!C51),"",RECAPITULATIF!C51)</f>
        <v/>
      </c>
      <c r="D42" s="69"/>
      <c r="E42" s="70"/>
      <c r="F42" s="70"/>
      <c r="G42" s="71"/>
      <c r="H42" s="70"/>
      <c r="I42" s="72"/>
      <c r="K42" s="70">
        <f>'MVMTS SORTIES &amp; FABRICATIONS'!F42</f>
        <v>0</v>
      </c>
      <c r="L42" s="70">
        <f>'MVMTS SORTIES &amp; FABRICATIONS'!E42</f>
        <v>0</v>
      </c>
    </row>
    <row r="43" spans="1:12" x14ac:dyDescent="0.2">
      <c r="A43" s="50" t="str">
        <f>IF(ISBLANK(RECAPITULATIF!A52),"",RECAPITULATIF!A52)</f>
        <v/>
      </c>
      <c r="B43" s="50" t="str">
        <f>IF(ISBLANK(RECAPITULATIF!B52),"",RECAPITULATIF!B52)</f>
        <v/>
      </c>
      <c r="C43" s="50" t="str">
        <f>IF(ISBLANK(RECAPITULATIF!C52),"",RECAPITULATIF!C52)</f>
        <v/>
      </c>
      <c r="D43" s="69"/>
      <c r="E43" s="70"/>
      <c r="F43" s="70"/>
      <c r="G43" s="71"/>
      <c r="H43" s="70"/>
      <c r="I43" s="72"/>
      <c r="K43" s="70">
        <f>'MVMTS SORTIES &amp; FABRICATIONS'!F43</f>
        <v>0</v>
      </c>
      <c r="L43" s="70">
        <f>'MVMTS SORTIES &amp; FABRICATIONS'!E43</f>
        <v>0</v>
      </c>
    </row>
    <row r="44" spans="1:12" x14ac:dyDescent="0.2">
      <c r="A44" s="50" t="str">
        <f>IF(ISBLANK(RECAPITULATIF!A53),"",RECAPITULATIF!A53)</f>
        <v/>
      </c>
      <c r="B44" s="50" t="str">
        <f>IF(ISBLANK(RECAPITULATIF!B53),"",RECAPITULATIF!B53)</f>
        <v/>
      </c>
      <c r="C44" s="50" t="str">
        <f>IF(ISBLANK(RECAPITULATIF!C53),"",RECAPITULATIF!C53)</f>
        <v/>
      </c>
      <c r="D44" s="69"/>
      <c r="E44" s="70"/>
      <c r="F44" s="70"/>
      <c r="G44" s="71"/>
      <c r="H44" s="70"/>
      <c r="I44" s="72"/>
      <c r="K44" s="70">
        <f>'MVMTS SORTIES &amp; FABRICATIONS'!F44</f>
        <v>0</v>
      </c>
      <c r="L44" s="70">
        <f>'MVMTS SORTIES &amp; FABRICATIONS'!E44</f>
        <v>0</v>
      </c>
    </row>
    <row r="45" spans="1:12" x14ac:dyDescent="0.2">
      <c r="A45" s="50" t="str">
        <f>IF(ISBLANK(RECAPITULATIF!A54),"",RECAPITULATIF!A54)</f>
        <v/>
      </c>
      <c r="B45" s="50" t="str">
        <f>IF(ISBLANK(RECAPITULATIF!B54),"",RECAPITULATIF!B54)</f>
        <v/>
      </c>
      <c r="C45" s="50" t="str">
        <f>IF(ISBLANK(RECAPITULATIF!C54),"",RECAPITULATIF!C54)</f>
        <v/>
      </c>
      <c r="D45" s="69"/>
      <c r="E45" s="70"/>
      <c r="F45" s="70"/>
      <c r="G45" s="71"/>
      <c r="H45" s="70"/>
      <c r="I45" s="72"/>
      <c r="K45" s="70">
        <f>'MVMTS SORTIES &amp; FABRICATIONS'!F45</f>
        <v>0</v>
      </c>
      <c r="L45" s="70">
        <f>'MVMTS SORTIES &amp; FABRICATIONS'!E45</f>
        <v>0</v>
      </c>
    </row>
    <row r="46" spans="1:12" x14ac:dyDescent="0.2">
      <c r="A46" s="50" t="str">
        <f>IF(ISBLANK(RECAPITULATIF!A55),"",RECAPITULATIF!A55)</f>
        <v/>
      </c>
      <c r="B46" s="50" t="str">
        <f>IF(ISBLANK(RECAPITULATIF!B55),"",RECAPITULATIF!B55)</f>
        <v/>
      </c>
      <c r="C46" s="50" t="str">
        <f>IF(ISBLANK(RECAPITULATIF!C55),"",RECAPITULATIF!C55)</f>
        <v/>
      </c>
      <c r="D46" s="69"/>
      <c r="E46" s="70"/>
      <c r="F46" s="70"/>
      <c r="G46" s="71"/>
      <c r="H46" s="70"/>
      <c r="I46" s="72"/>
      <c r="K46" s="70">
        <f>'MVMTS SORTIES &amp; FABRICATIONS'!F46</f>
        <v>0</v>
      </c>
      <c r="L46" s="70">
        <f>'MVMTS SORTIES &amp; FABRICATIONS'!E46</f>
        <v>0</v>
      </c>
    </row>
    <row r="47" spans="1:12" x14ac:dyDescent="0.2">
      <c r="A47" s="50" t="str">
        <f>IF(ISBLANK(RECAPITULATIF!A56),"",RECAPITULATIF!A56)</f>
        <v/>
      </c>
      <c r="B47" s="50" t="str">
        <f>IF(ISBLANK(RECAPITULATIF!B56),"",RECAPITULATIF!B56)</f>
        <v/>
      </c>
      <c r="C47" s="50" t="str">
        <f>IF(ISBLANK(RECAPITULATIF!C56),"",RECAPITULATIF!C56)</f>
        <v/>
      </c>
      <c r="D47" s="69"/>
      <c r="E47" s="70"/>
      <c r="F47" s="70"/>
      <c r="G47" s="71"/>
      <c r="H47" s="70"/>
      <c r="I47" s="72"/>
      <c r="K47" s="70">
        <f>'MVMTS SORTIES &amp; FABRICATIONS'!F47</f>
        <v>0</v>
      </c>
      <c r="L47" s="70">
        <f>'MVMTS SORTIES &amp; FABRICATIONS'!E47</f>
        <v>0</v>
      </c>
    </row>
    <row r="48" spans="1:12" x14ac:dyDescent="0.2">
      <c r="A48" s="50" t="str">
        <f>IF(ISBLANK(RECAPITULATIF!A57),"",RECAPITULATIF!A57)</f>
        <v/>
      </c>
      <c r="B48" s="50" t="str">
        <f>IF(ISBLANK(RECAPITULATIF!B57),"",RECAPITULATIF!B57)</f>
        <v/>
      </c>
      <c r="C48" s="50" t="str">
        <f>IF(ISBLANK(RECAPITULATIF!C57),"",RECAPITULATIF!C57)</f>
        <v/>
      </c>
      <c r="D48" s="69"/>
      <c r="E48" s="70"/>
      <c r="F48" s="70"/>
      <c r="G48" s="71"/>
      <c r="H48" s="70"/>
      <c r="I48" s="72"/>
      <c r="K48" s="70">
        <f>'MVMTS SORTIES &amp; FABRICATIONS'!F48</f>
        <v>0</v>
      </c>
      <c r="L48" s="70">
        <f>'MVMTS SORTIES &amp; FABRICATIONS'!E48</f>
        <v>0</v>
      </c>
    </row>
    <row r="49" spans="1:12" x14ac:dyDescent="0.2">
      <c r="A49" s="50" t="str">
        <f>IF(ISBLANK(RECAPITULATIF!A58),"",RECAPITULATIF!A58)</f>
        <v/>
      </c>
      <c r="B49" s="50" t="str">
        <f>IF(ISBLANK(RECAPITULATIF!B58),"",RECAPITULATIF!B58)</f>
        <v/>
      </c>
      <c r="C49" s="50" t="str">
        <f>IF(ISBLANK(RECAPITULATIF!C58),"",RECAPITULATIF!C58)</f>
        <v/>
      </c>
      <c r="D49" s="69"/>
      <c r="E49" s="70"/>
      <c r="F49" s="70"/>
      <c r="G49" s="71"/>
      <c r="H49" s="70"/>
      <c r="I49" s="72"/>
      <c r="K49" s="70">
        <f>'MVMTS SORTIES &amp; FABRICATIONS'!F49</f>
        <v>0</v>
      </c>
      <c r="L49" s="70">
        <f>'MVMTS SORTIES &amp; FABRICATIONS'!E49</f>
        <v>0</v>
      </c>
    </row>
    <row r="50" spans="1:12" x14ac:dyDescent="0.2">
      <c r="A50" s="50" t="str">
        <f>IF(ISBLANK(RECAPITULATIF!A59),"",RECAPITULATIF!A59)</f>
        <v/>
      </c>
      <c r="B50" s="50" t="str">
        <f>IF(ISBLANK(RECAPITULATIF!B59),"",RECAPITULATIF!B59)</f>
        <v/>
      </c>
      <c r="C50" s="50" t="str">
        <f>IF(ISBLANK(RECAPITULATIF!C59),"",RECAPITULATIF!C59)</f>
        <v/>
      </c>
      <c r="D50" s="69"/>
      <c r="E50" s="70"/>
      <c r="F50" s="70"/>
      <c r="G50" s="71"/>
      <c r="H50" s="70"/>
      <c r="I50" s="72"/>
      <c r="K50" s="70">
        <f>'MVMTS SORTIES &amp; FABRICATIONS'!F50</f>
        <v>0</v>
      </c>
      <c r="L50" s="70">
        <f>'MVMTS SORTIES &amp; FABRICATIONS'!E50</f>
        <v>0</v>
      </c>
    </row>
    <row r="51" spans="1:12" x14ac:dyDescent="0.2">
      <c r="A51" s="50" t="str">
        <f>IF(ISBLANK(RECAPITULATIF!A60),"",RECAPITULATIF!A60)</f>
        <v/>
      </c>
      <c r="B51" s="50" t="str">
        <f>IF(ISBLANK(RECAPITULATIF!B60),"",RECAPITULATIF!B60)</f>
        <v/>
      </c>
      <c r="C51" s="50" t="str">
        <f>IF(ISBLANK(RECAPITULATIF!C60),"",RECAPITULATIF!C60)</f>
        <v/>
      </c>
      <c r="D51" s="69"/>
      <c r="E51" s="70"/>
      <c r="F51" s="70"/>
      <c r="G51" s="71"/>
      <c r="H51" s="70"/>
      <c r="I51" s="72"/>
      <c r="K51" s="70">
        <f>'MVMTS SORTIES &amp; FABRICATIONS'!F51</f>
        <v>0</v>
      </c>
      <c r="L51" s="70">
        <f>'MVMTS SORTIES &amp; FABRICATIONS'!E51</f>
        <v>0</v>
      </c>
    </row>
    <row r="52" spans="1:12" x14ac:dyDescent="0.2">
      <c r="A52" s="50" t="str">
        <f>IF(ISBLANK(RECAPITULATIF!A61),"",RECAPITULATIF!A61)</f>
        <v/>
      </c>
      <c r="B52" s="50" t="str">
        <f>IF(ISBLANK(RECAPITULATIF!B61),"",RECAPITULATIF!B61)</f>
        <v/>
      </c>
      <c r="C52" s="50" t="str">
        <f>IF(ISBLANK(RECAPITULATIF!C61),"",RECAPITULATIF!C61)</f>
        <v/>
      </c>
      <c r="D52" s="69"/>
      <c r="E52" s="70"/>
      <c r="F52" s="70"/>
      <c r="G52" s="71"/>
      <c r="H52" s="70"/>
      <c r="I52" s="72"/>
      <c r="K52" s="70">
        <f>'MVMTS SORTIES &amp; FABRICATIONS'!F52</f>
        <v>0</v>
      </c>
      <c r="L52" s="70">
        <f>'MVMTS SORTIES &amp; FABRICATIONS'!E52</f>
        <v>0</v>
      </c>
    </row>
    <row r="53" spans="1:12" x14ac:dyDescent="0.2">
      <c r="A53" s="50" t="str">
        <f>IF(ISBLANK(RECAPITULATIF!A62),"",RECAPITULATIF!A62)</f>
        <v/>
      </c>
      <c r="B53" s="50" t="str">
        <f>IF(ISBLANK(RECAPITULATIF!B62),"",RECAPITULATIF!B62)</f>
        <v/>
      </c>
      <c r="C53" s="50" t="str">
        <f>IF(ISBLANK(RECAPITULATIF!C62),"",RECAPITULATIF!C62)</f>
        <v/>
      </c>
      <c r="D53" s="69"/>
      <c r="E53" s="70"/>
      <c r="F53" s="70"/>
      <c r="G53" s="71"/>
      <c r="H53" s="70"/>
      <c r="I53" s="72"/>
      <c r="K53" s="70">
        <f>'MVMTS SORTIES &amp; FABRICATIONS'!F53</f>
        <v>0</v>
      </c>
      <c r="L53" s="70">
        <f>'MVMTS SORTIES &amp; FABRICATIONS'!E53</f>
        <v>0</v>
      </c>
    </row>
    <row r="54" spans="1:12" x14ac:dyDescent="0.2">
      <c r="A54" s="50" t="str">
        <f>IF(ISBLANK(RECAPITULATIF!A63),"",RECAPITULATIF!A63)</f>
        <v/>
      </c>
      <c r="B54" s="50" t="str">
        <f>IF(ISBLANK(RECAPITULATIF!B63),"",RECAPITULATIF!B63)</f>
        <v/>
      </c>
      <c r="C54" s="50" t="str">
        <f>IF(ISBLANK(RECAPITULATIF!C63),"",RECAPITULATIF!C63)</f>
        <v/>
      </c>
      <c r="D54" s="69"/>
      <c r="E54" s="70"/>
      <c r="F54" s="70"/>
      <c r="G54" s="71"/>
      <c r="H54" s="70"/>
      <c r="I54" s="72"/>
      <c r="K54" s="70">
        <f>'MVMTS SORTIES &amp; FABRICATIONS'!F54</f>
        <v>0</v>
      </c>
      <c r="L54" s="70">
        <f>'MVMTS SORTIES &amp; FABRICATIONS'!E54</f>
        <v>0</v>
      </c>
    </row>
    <row r="55" spans="1:12" x14ac:dyDescent="0.2">
      <c r="A55" s="50" t="str">
        <f>IF(ISBLANK(RECAPITULATIF!A64),"",RECAPITULATIF!A64)</f>
        <v/>
      </c>
      <c r="B55" s="50" t="str">
        <f>IF(ISBLANK(RECAPITULATIF!B64),"",RECAPITULATIF!B64)</f>
        <v/>
      </c>
      <c r="C55" s="50" t="str">
        <f>IF(ISBLANK(RECAPITULATIF!C64),"",RECAPITULATIF!C64)</f>
        <v/>
      </c>
      <c r="D55" s="69"/>
      <c r="E55" s="70"/>
      <c r="F55" s="70"/>
      <c r="G55" s="71"/>
      <c r="H55" s="70"/>
      <c r="I55" s="72"/>
      <c r="K55" s="70">
        <f>'MVMTS SORTIES &amp; FABRICATIONS'!F55</f>
        <v>0</v>
      </c>
      <c r="L55" s="70">
        <f>'MVMTS SORTIES &amp; FABRICATIONS'!E55</f>
        <v>0</v>
      </c>
    </row>
    <row r="56" spans="1:12" x14ac:dyDescent="0.2">
      <c r="A56" s="50" t="str">
        <f>IF(ISBLANK(RECAPITULATIF!A65),"",RECAPITULATIF!A65)</f>
        <v/>
      </c>
      <c r="B56" s="50" t="str">
        <f>IF(ISBLANK(RECAPITULATIF!B65),"",RECAPITULATIF!B65)</f>
        <v/>
      </c>
      <c r="C56" s="50" t="str">
        <f>IF(ISBLANK(RECAPITULATIF!C65),"",RECAPITULATIF!C65)</f>
        <v/>
      </c>
      <c r="D56" s="69"/>
      <c r="E56" s="70"/>
      <c r="F56" s="70"/>
      <c r="G56" s="71"/>
      <c r="H56" s="70"/>
      <c r="I56" s="72"/>
      <c r="K56" s="70">
        <f>'MVMTS SORTIES &amp; FABRICATIONS'!F56</f>
        <v>0</v>
      </c>
      <c r="L56" s="70">
        <f>'MVMTS SORTIES &amp; FABRICATIONS'!E56</f>
        <v>0</v>
      </c>
    </row>
    <row r="57" spans="1:12" x14ac:dyDescent="0.2">
      <c r="A57" s="50" t="str">
        <f>IF(ISBLANK(RECAPITULATIF!A66),"",RECAPITULATIF!A66)</f>
        <v/>
      </c>
      <c r="B57" s="50" t="str">
        <f>IF(ISBLANK(RECAPITULATIF!B66),"",RECAPITULATIF!B66)</f>
        <v/>
      </c>
      <c r="C57" s="50" t="str">
        <f>IF(ISBLANK(RECAPITULATIF!C66),"",RECAPITULATIF!C66)</f>
        <v/>
      </c>
      <c r="D57" s="69"/>
      <c r="E57" s="70"/>
      <c r="F57" s="70"/>
      <c r="G57" s="71"/>
      <c r="H57" s="70"/>
      <c r="I57" s="72"/>
      <c r="K57" s="70">
        <f>'MVMTS SORTIES &amp; FABRICATIONS'!F57</f>
        <v>0</v>
      </c>
      <c r="L57" s="70">
        <f>'MVMTS SORTIES &amp; FABRICATIONS'!E57</f>
        <v>0</v>
      </c>
    </row>
    <row r="58" spans="1:12" x14ac:dyDescent="0.2">
      <c r="A58" s="50" t="str">
        <f>IF(ISBLANK(RECAPITULATIF!A67),"",RECAPITULATIF!A67)</f>
        <v/>
      </c>
      <c r="B58" s="50" t="str">
        <f>IF(ISBLANK(RECAPITULATIF!B67),"",RECAPITULATIF!B67)</f>
        <v/>
      </c>
      <c r="C58" s="50" t="str">
        <f>IF(ISBLANK(RECAPITULATIF!C67),"",RECAPITULATIF!C67)</f>
        <v/>
      </c>
      <c r="D58" s="69"/>
      <c r="E58" s="70"/>
      <c r="F58" s="70"/>
      <c r="G58" s="71"/>
      <c r="H58" s="70"/>
      <c r="I58" s="72"/>
      <c r="K58" s="70">
        <f>'MVMTS SORTIES &amp; FABRICATIONS'!F58</f>
        <v>0</v>
      </c>
      <c r="L58" s="70">
        <f>'MVMTS SORTIES &amp; FABRICATIONS'!E58</f>
        <v>0</v>
      </c>
    </row>
    <row r="59" spans="1:12" x14ac:dyDescent="0.2">
      <c r="A59" s="50" t="str">
        <f>IF(ISBLANK(RECAPITULATIF!A68),"",RECAPITULATIF!A68)</f>
        <v/>
      </c>
      <c r="B59" s="50" t="str">
        <f>IF(ISBLANK(RECAPITULATIF!B68),"",RECAPITULATIF!B68)</f>
        <v/>
      </c>
      <c r="C59" s="50" t="str">
        <f>IF(ISBLANK(RECAPITULATIF!C68),"",RECAPITULATIF!C68)</f>
        <v/>
      </c>
      <c r="D59" s="69"/>
      <c r="E59" s="70"/>
      <c r="F59" s="70"/>
      <c r="G59" s="71"/>
      <c r="H59" s="70"/>
      <c r="I59" s="72"/>
      <c r="K59" s="70">
        <f>'MVMTS SORTIES &amp; FABRICATIONS'!F59</f>
        <v>0</v>
      </c>
      <c r="L59" s="70">
        <f>'MVMTS SORTIES &amp; FABRICATIONS'!E59</f>
        <v>0</v>
      </c>
    </row>
    <row r="60" spans="1:12" x14ac:dyDescent="0.2">
      <c r="A60" s="50" t="str">
        <f>IF(ISBLANK(RECAPITULATIF!A69),"",RECAPITULATIF!A69)</f>
        <v/>
      </c>
      <c r="B60" s="50" t="str">
        <f>IF(ISBLANK(RECAPITULATIF!B69),"",RECAPITULATIF!B69)</f>
        <v/>
      </c>
      <c r="C60" s="50" t="str">
        <f>IF(ISBLANK(RECAPITULATIF!C69),"",RECAPITULATIF!C69)</f>
        <v/>
      </c>
      <c r="D60" s="69"/>
      <c r="E60" s="70"/>
      <c r="F60" s="70"/>
      <c r="G60" s="71"/>
      <c r="H60" s="70"/>
      <c r="I60" s="72"/>
      <c r="K60" s="70">
        <f>'MVMTS SORTIES &amp; FABRICATIONS'!F60</f>
        <v>0</v>
      </c>
      <c r="L60" s="70">
        <f>'MVMTS SORTIES &amp; FABRICATIONS'!E60</f>
        <v>0</v>
      </c>
    </row>
    <row r="61" spans="1:12" x14ac:dyDescent="0.2">
      <c r="A61" s="50" t="str">
        <f>IF(ISBLANK(RECAPITULATIF!A70),"",RECAPITULATIF!A70)</f>
        <v/>
      </c>
      <c r="B61" s="50" t="str">
        <f>IF(ISBLANK(RECAPITULATIF!B70),"",RECAPITULATIF!B70)</f>
        <v/>
      </c>
      <c r="C61" s="50" t="str">
        <f>IF(ISBLANK(RECAPITULATIF!C70),"",RECAPITULATIF!C70)</f>
        <v/>
      </c>
      <c r="D61" s="69"/>
      <c r="E61" s="70"/>
      <c r="F61" s="70"/>
      <c r="G61" s="71"/>
      <c r="H61" s="70"/>
      <c r="I61" s="72"/>
      <c r="K61" s="70">
        <f>'MVMTS SORTIES &amp; FABRICATIONS'!F61</f>
        <v>0</v>
      </c>
      <c r="L61" s="70">
        <f>'MVMTS SORTIES &amp; FABRICATIONS'!E61</f>
        <v>0</v>
      </c>
    </row>
    <row r="62" spans="1:12" x14ac:dyDescent="0.2">
      <c r="A62" s="50" t="str">
        <f>IF(ISBLANK(RECAPITULATIF!A71),"",RECAPITULATIF!A71)</f>
        <v/>
      </c>
      <c r="B62" s="50" t="str">
        <f>IF(ISBLANK(RECAPITULATIF!B71),"",RECAPITULATIF!B71)</f>
        <v/>
      </c>
      <c r="C62" s="50" t="str">
        <f>IF(ISBLANK(RECAPITULATIF!C71),"",RECAPITULATIF!C71)</f>
        <v/>
      </c>
      <c r="D62" s="69"/>
      <c r="E62" s="70"/>
      <c r="F62" s="70"/>
      <c r="G62" s="71"/>
      <c r="H62" s="70"/>
      <c r="I62" s="72"/>
      <c r="K62" s="70">
        <f>'MVMTS SORTIES &amp; FABRICATIONS'!F62</f>
        <v>0</v>
      </c>
      <c r="L62" s="70">
        <f>'MVMTS SORTIES &amp; FABRICATIONS'!E62</f>
        <v>0</v>
      </c>
    </row>
    <row r="63" spans="1:12" x14ac:dyDescent="0.2">
      <c r="A63" s="50" t="str">
        <f>IF(ISBLANK(RECAPITULATIF!A72),"",RECAPITULATIF!A72)</f>
        <v/>
      </c>
      <c r="B63" s="50" t="str">
        <f>IF(ISBLANK(RECAPITULATIF!B72),"",RECAPITULATIF!B72)</f>
        <v/>
      </c>
      <c r="C63" s="50" t="str">
        <f>IF(ISBLANK(RECAPITULATIF!C72),"",RECAPITULATIF!C72)</f>
        <v/>
      </c>
      <c r="D63" s="69"/>
      <c r="E63" s="70"/>
      <c r="F63" s="70"/>
      <c r="G63" s="71"/>
      <c r="H63" s="70"/>
      <c r="I63" s="72"/>
      <c r="K63" s="70">
        <f>'MVMTS SORTIES &amp; FABRICATIONS'!F63</f>
        <v>0</v>
      </c>
      <c r="L63" s="70">
        <f>'MVMTS SORTIES &amp; FABRICATIONS'!E63</f>
        <v>0</v>
      </c>
    </row>
    <row r="64" spans="1:12" x14ac:dyDescent="0.2">
      <c r="A64" s="50" t="str">
        <f>IF(ISBLANK(RECAPITULATIF!A73),"",RECAPITULATIF!A73)</f>
        <v/>
      </c>
      <c r="B64" s="50" t="str">
        <f>IF(ISBLANK(RECAPITULATIF!B73),"",RECAPITULATIF!B73)</f>
        <v/>
      </c>
      <c r="C64" s="50" t="str">
        <f>IF(ISBLANK(RECAPITULATIF!C73),"",RECAPITULATIF!C73)</f>
        <v/>
      </c>
      <c r="D64" s="69"/>
      <c r="E64" s="70"/>
      <c r="F64" s="70"/>
      <c r="G64" s="71"/>
      <c r="H64" s="70"/>
      <c r="I64" s="72"/>
      <c r="K64" s="70">
        <f>'MVMTS SORTIES &amp; FABRICATIONS'!F64</f>
        <v>0</v>
      </c>
      <c r="L64" s="70">
        <f>'MVMTS SORTIES &amp; FABRICATIONS'!E64</f>
        <v>0</v>
      </c>
    </row>
    <row r="65" spans="1:12" x14ac:dyDescent="0.2">
      <c r="A65" s="50" t="str">
        <f>IF(ISBLANK(RECAPITULATIF!A74),"",RECAPITULATIF!A74)</f>
        <v/>
      </c>
      <c r="B65" s="50" t="str">
        <f>IF(ISBLANK(RECAPITULATIF!B74),"",RECAPITULATIF!B74)</f>
        <v/>
      </c>
      <c r="C65" s="50" t="str">
        <f>IF(ISBLANK(RECAPITULATIF!C74),"",RECAPITULATIF!C74)</f>
        <v/>
      </c>
      <c r="D65" s="69"/>
      <c r="E65" s="70"/>
      <c r="F65" s="70"/>
      <c r="G65" s="71"/>
      <c r="H65" s="70"/>
      <c r="I65" s="72"/>
      <c r="K65" s="70">
        <f>'MVMTS SORTIES &amp; FABRICATIONS'!F65</f>
        <v>0</v>
      </c>
      <c r="L65" s="70">
        <f>'MVMTS SORTIES &amp; FABRICATIONS'!E65</f>
        <v>0</v>
      </c>
    </row>
    <row r="66" spans="1:12" x14ac:dyDescent="0.2">
      <c r="A66" s="50" t="str">
        <f>IF(ISBLANK(RECAPITULATIF!A75),"",RECAPITULATIF!A75)</f>
        <v/>
      </c>
      <c r="B66" s="50" t="str">
        <f>IF(ISBLANK(RECAPITULATIF!B75),"",RECAPITULATIF!B75)</f>
        <v/>
      </c>
      <c r="C66" s="50" t="str">
        <f>IF(ISBLANK(RECAPITULATIF!C75),"",RECAPITULATIF!C75)</f>
        <v/>
      </c>
      <c r="D66" s="69"/>
      <c r="E66" s="70"/>
      <c r="F66" s="70"/>
      <c r="G66" s="71"/>
      <c r="H66" s="70"/>
      <c r="I66" s="72"/>
      <c r="K66" s="70">
        <f>'MVMTS SORTIES &amp; FABRICATIONS'!F66</f>
        <v>0</v>
      </c>
      <c r="L66" s="70">
        <f>'MVMTS SORTIES &amp; FABRICATIONS'!E66</f>
        <v>0</v>
      </c>
    </row>
    <row r="67" spans="1:12" x14ac:dyDescent="0.2">
      <c r="A67" s="50" t="str">
        <f>IF(ISBLANK(RECAPITULATIF!A76),"",RECAPITULATIF!A76)</f>
        <v/>
      </c>
      <c r="B67" s="50" t="str">
        <f>IF(ISBLANK(RECAPITULATIF!B76),"",RECAPITULATIF!B76)</f>
        <v/>
      </c>
      <c r="C67" s="50" t="str">
        <f>IF(ISBLANK(RECAPITULATIF!C76),"",RECAPITULATIF!C76)</f>
        <v/>
      </c>
      <c r="D67" s="69"/>
      <c r="E67" s="70"/>
      <c r="F67" s="70"/>
      <c r="G67" s="71"/>
      <c r="H67" s="70"/>
      <c r="I67" s="72"/>
      <c r="K67" s="70">
        <f>'MVMTS SORTIES &amp; FABRICATIONS'!F67</f>
        <v>0</v>
      </c>
      <c r="L67" s="70">
        <f>'MVMTS SORTIES &amp; FABRICATIONS'!E67</f>
        <v>0</v>
      </c>
    </row>
    <row r="68" spans="1:12" x14ac:dyDescent="0.2">
      <c r="A68" s="50" t="str">
        <f>IF(ISBLANK(RECAPITULATIF!A77),"",RECAPITULATIF!A77)</f>
        <v/>
      </c>
      <c r="B68" s="50" t="str">
        <f>IF(ISBLANK(RECAPITULATIF!B77),"",RECAPITULATIF!B77)</f>
        <v/>
      </c>
      <c r="C68" s="50" t="str">
        <f>IF(ISBLANK(RECAPITULATIF!C77),"",RECAPITULATIF!C77)</f>
        <v/>
      </c>
      <c r="D68" s="69"/>
      <c r="E68" s="70"/>
      <c r="F68" s="70"/>
      <c r="G68" s="71"/>
      <c r="H68" s="70"/>
      <c r="I68" s="72"/>
      <c r="K68" s="70">
        <f>'MVMTS SORTIES &amp; FABRICATIONS'!F68</f>
        <v>0</v>
      </c>
      <c r="L68" s="70">
        <f>'MVMTS SORTIES &amp; FABRICATIONS'!E68</f>
        <v>0</v>
      </c>
    </row>
    <row r="69" spans="1:12" x14ac:dyDescent="0.2">
      <c r="A69" s="50" t="str">
        <f>IF(ISBLANK(RECAPITULATIF!A78),"",RECAPITULATIF!A78)</f>
        <v/>
      </c>
      <c r="B69" s="50" t="str">
        <f>IF(ISBLANK(RECAPITULATIF!B78),"",RECAPITULATIF!B78)</f>
        <v/>
      </c>
      <c r="C69" s="50" t="str">
        <f>IF(ISBLANK(RECAPITULATIF!C78),"",RECAPITULATIF!C78)</f>
        <v/>
      </c>
      <c r="D69" s="69"/>
      <c r="E69" s="70"/>
      <c r="F69" s="70"/>
      <c r="G69" s="71"/>
      <c r="H69" s="70"/>
      <c r="I69" s="72"/>
      <c r="K69" s="70">
        <f>'MVMTS SORTIES &amp; FABRICATIONS'!F69</f>
        <v>0</v>
      </c>
      <c r="L69" s="70">
        <f>'MVMTS SORTIES &amp; FABRICATIONS'!E69</f>
        <v>0</v>
      </c>
    </row>
    <row r="70" spans="1:12" x14ac:dyDescent="0.2">
      <c r="A70" s="50" t="str">
        <f>IF(ISBLANK(RECAPITULATIF!A79),"",RECAPITULATIF!A79)</f>
        <v/>
      </c>
      <c r="B70" s="50" t="str">
        <f>IF(ISBLANK(RECAPITULATIF!B79),"",RECAPITULATIF!B79)</f>
        <v/>
      </c>
      <c r="C70" s="50" t="str">
        <f>IF(ISBLANK(RECAPITULATIF!C79),"",RECAPITULATIF!C79)</f>
        <v/>
      </c>
      <c r="D70" s="69"/>
      <c r="E70" s="70"/>
      <c r="F70" s="70"/>
      <c r="G70" s="71"/>
      <c r="H70" s="70"/>
      <c r="I70" s="72"/>
      <c r="K70" s="70">
        <f>'MVMTS SORTIES &amp; FABRICATIONS'!F70</f>
        <v>0</v>
      </c>
      <c r="L70" s="70">
        <f>'MVMTS SORTIES &amp; FABRICATIONS'!E70</f>
        <v>0</v>
      </c>
    </row>
    <row r="71" spans="1:12" x14ac:dyDescent="0.2">
      <c r="A71" s="50" t="str">
        <f>IF(ISBLANK(RECAPITULATIF!A80),"",RECAPITULATIF!A80)</f>
        <v/>
      </c>
      <c r="B71" s="50" t="str">
        <f>IF(ISBLANK(RECAPITULATIF!B80),"",RECAPITULATIF!B80)</f>
        <v/>
      </c>
      <c r="C71" s="50" t="str">
        <f>IF(ISBLANK(RECAPITULATIF!C80),"",RECAPITULATIF!C80)</f>
        <v/>
      </c>
      <c r="D71" s="69"/>
      <c r="E71" s="70"/>
      <c r="F71" s="70"/>
      <c r="G71" s="71"/>
      <c r="H71" s="70"/>
      <c r="I71" s="72"/>
      <c r="K71" s="70">
        <f>'MVMTS SORTIES &amp; FABRICATIONS'!F71</f>
        <v>0</v>
      </c>
      <c r="L71" s="70">
        <f>'MVMTS SORTIES &amp; FABRICATIONS'!E71</f>
        <v>0</v>
      </c>
    </row>
    <row r="72" spans="1:12" x14ac:dyDescent="0.2">
      <c r="A72" s="50" t="str">
        <f>IF(ISBLANK(RECAPITULATIF!A81),"",RECAPITULATIF!A81)</f>
        <v/>
      </c>
      <c r="B72" s="50" t="str">
        <f>IF(ISBLANK(RECAPITULATIF!B81),"",RECAPITULATIF!B81)</f>
        <v/>
      </c>
      <c r="C72" s="50" t="str">
        <f>IF(ISBLANK(RECAPITULATIF!C81),"",RECAPITULATIF!C81)</f>
        <v/>
      </c>
      <c r="D72" s="69"/>
      <c r="E72" s="70"/>
      <c r="F72" s="70"/>
      <c r="G72" s="71"/>
      <c r="H72" s="70"/>
      <c r="I72" s="72"/>
      <c r="K72" s="70">
        <f>'MVMTS SORTIES &amp; FABRICATIONS'!F72</f>
        <v>0</v>
      </c>
      <c r="L72" s="70">
        <f>'MVMTS SORTIES &amp; FABRICATIONS'!E72</f>
        <v>0</v>
      </c>
    </row>
    <row r="73" spans="1:12" x14ac:dyDescent="0.2">
      <c r="A73" s="50" t="str">
        <f>IF(ISBLANK(RECAPITULATIF!A82),"",RECAPITULATIF!A82)</f>
        <v/>
      </c>
      <c r="B73" s="50" t="str">
        <f>IF(ISBLANK(RECAPITULATIF!B82),"",RECAPITULATIF!B82)</f>
        <v/>
      </c>
      <c r="C73" s="50" t="str">
        <f>IF(ISBLANK(RECAPITULATIF!C82),"",RECAPITULATIF!C82)</f>
        <v/>
      </c>
      <c r="D73" s="69"/>
      <c r="E73" s="70"/>
      <c r="F73" s="70"/>
      <c r="G73" s="71"/>
      <c r="H73" s="70"/>
      <c r="I73" s="72"/>
      <c r="K73" s="70">
        <f>'MVMTS SORTIES &amp; FABRICATIONS'!F73</f>
        <v>0</v>
      </c>
      <c r="L73" s="70">
        <f>'MVMTS SORTIES &amp; FABRICATIONS'!E73</f>
        <v>0</v>
      </c>
    </row>
    <row r="74" spans="1:12" x14ac:dyDescent="0.2">
      <c r="A74" s="50" t="str">
        <f>IF(ISBLANK(RECAPITULATIF!A83),"",RECAPITULATIF!A83)</f>
        <v/>
      </c>
      <c r="B74" s="50" t="str">
        <f>IF(ISBLANK(RECAPITULATIF!B83),"",RECAPITULATIF!B83)</f>
        <v/>
      </c>
      <c r="C74" s="50" t="str">
        <f>IF(ISBLANK(RECAPITULATIF!C83),"",RECAPITULATIF!C83)</f>
        <v/>
      </c>
      <c r="D74" s="69"/>
      <c r="E74" s="70"/>
      <c r="F74" s="70"/>
      <c r="G74" s="71"/>
      <c r="H74" s="70"/>
      <c r="I74" s="72"/>
      <c r="K74" s="70">
        <f>'MVMTS SORTIES &amp; FABRICATIONS'!F74</f>
        <v>0</v>
      </c>
      <c r="L74" s="70">
        <f>'MVMTS SORTIES &amp; FABRICATIONS'!E74</f>
        <v>0</v>
      </c>
    </row>
    <row r="75" spans="1:12" x14ac:dyDescent="0.2">
      <c r="A75" s="50" t="str">
        <f>IF(ISBLANK(RECAPITULATIF!A84),"",RECAPITULATIF!A84)</f>
        <v/>
      </c>
      <c r="B75" s="50" t="str">
        <f>IF(ISBLANK(RECAPITULATIF!B84),"",RECAPITULATIF!B84)</f>
        <v/>
      </c>
      <c r="C75" s="50" t="str">
        <f>IF(ISBLANK(RECAPITULATIF!C84),"",RECAPITULATIF!C84)</f>
        <v/>
      </c>
      <c r="D75" s="69"/>
      <c r="E75" s="70"/>
      <c r="F75" s="70"/>
      <c r="G75" s="71"/>
      <c r="H75" s="70"/>
      <c r="I75" s="72"/>
      <c r="K75" s="70">
        <f>'MVMTS SORTIES &amp; FABRICATIONS'!F75</f>
        <v>0</v>
      </c>
      <c r="L75" s="70">
        <f>'MVMTS SORTIES &amp; FABRICATIONS'!E75</f>
        <v>0</v>
      </c>
    </row>
    <row r="76" spans="1:12" x14ac:dyDescent="0.2">
      <c r="A76" s="50" t="str">
        <f>IF(ISBLANK(RECAPITULATIF!A85),"",RECAPITULATIF!A85)</f>
        <v/>
      </c>
      <c r="B76" s="50" t="str">
        <f>IF(ISBLANK(RECAPITULATIF!B85),"",RECAPITULATIF!B85)</f>
        <v/>
      </c>
      <c r="C76" s="50" t="str">
        <f>IF(ISBLANK(RECAPITULATIF!C85),"",RECAPITULATIF!C85)</f>
        <v/>
      </c>
      <c r="D76" s="69"/>
      <c r="E76" s="70"/>
      <c r="F76" s="70"/>
      <c r="G76" s="71"/>
      <c r="H76" s="70"/>
      <c r="I76" s="72"/>
      <c r="K76" s="70">
        <f>'MVMTS SORTIES &amp; FABRICATIONS'!F76</f>
        <v>0</v>
      </c>
      <c r="L76" s="70">
        <f>'MVMTS SORTIES &amp; FABRICATIONS'!E76</f>
        <v>0</v>
      </c>
    </row>
    <row r="77" spans="1:12" x14ac:dyDescent="0.2">
      <c r="A77" s="50" t="str">
        <f>IF(ISBLANK(RECAPITULATIF!A86),"",RECAPITULATIF!A86)</f>
        <v/>
      </c>
      <c r="B77" s="50" t="str">
        <f>IF(ISBLANK(RECAPITULATIF!B86),"",RECAPITULATIF!B86)</f>
        <v/>
      </c>
      <c r="C77" s="50" t="str">
        <f>IF(ISBLANK(RECAPITULATIF!C86),"",RECAPITULATIF!C86)</f>
        <v/>
      </c>
      <c r="D77" s="69"/>
      <c r="E77" s="70"/>
      <c r="F77" s="70"/>
      <c r="G77" s="71"/>
      <c r="H77" s="70"/>
      <c r="I77" s="72"/>
      <c r="K77" s="70">
        <f>'MVMTS SORTIES &amp; FABRICATIONS'!F77</f>
        <v>0</v>
      </c>
      <c r="L77" s="70">
        <f>'MVMTS SORTIES &amp; FABRICATIONS'!E77</f>
        <v>0</v>
      </c>
    </row>
    <row r="78" spans="1:12" x14ac:dyDescent="0.2">
      <c r="A78" s="50" t="str">
        <f>IF(ISBLANK(RECAPITULATIF!A87),"",RECAPITULATIF!A87)</f>
        <v/>
      </c>
      <c r="B78" s="50" t="str">
        <f>IF(ISBLANK(RECAPITULATIF!B87),"",RECAPITULATIF!B87)</f>
        <v/>
      </c>
      <c r="C78" s="50" t="str">
        <f>IF(ISBLANK(RECAPITULATIF!C87),"",RECAPITULATIF!C87)</f>
        <v/>
      </c>
      <c r="D78" s="69"/>
      <c r="E78" s="70"/>
      <c r="F78" s="70"/>
      <c r="G78" s="71"/>
      <c r="H78" s="70"/>
      <c r="I78" s="72"/>
      <c r="K78" s="70">
        <f>'MVMTS SORTIES &amp; FABRICATIONS'!F78</f>
        <v>0</v>
      </c>
      <c r="L78" s="70">
        <f>'MVMTS SORTIES &amp; FABRICATIONS'!E78</f>
        <v>0</v>
      </c>
    </row>
    <row r="79" spans="1:12" x14ac:dyDescent="0.2">
      <c r="A79" s="50" t="str">
        <f>IF(ISBLANK(RECAPITULATIF!A88),"",RECAPITULATIF!A88)</f>
        <v/>
      </c>
      <c r="B79" s="50" t="str">
        <f>IF(ISBLANK(RECAPITULATIF!B88),"",RECAPITULATIF!B88)</f>
        <v/>
      </c>
      <c r="C79" s="50" t="str">
        <f>IF(ISBLANK(RECAPITULATIF!C88),"",RECAPITULATIF!C88)</f>
        <v/>
      </c>
      <c r="D79" s="69"/>
      <c r="E79" s="70"/>
      <c r="F79" s="70"/>
      <c r="G79" s="71"/>
      <c r="H79" s="70"/>
      <c r="I79" s="72"/>
      <c r="K79" s="70">
        <f>'MVMTS SORTIES &amp; FABRICATIONS'!F79</f>
        <v>0</v>
      </c>
      <c r="L79" s="70">
        <f>'MVMTS SORTIES &amp; FABRICATIONS'!E79</f>
        <v>0</v>
      </c>
    </row>
    <row r="80" spans="1:12" x14ac:dyDescent="0.2">
      <c r="A80" s="50" t="str">
        <f>IF(ISBLANK(RECAPITULATIF!A89),"",RECAPITULATIF!A89)</f>
        <v/>
      </c>
      <c r="B80" s="50" t="str">
        <f>IF(ISBLANK(RECAPITULATIF!B89),"",RECAPITULATIF!B89)</f>
        <v/>
      </c>
      <c r="C80" s="50" t="str">
        <f>IF(ISBLANK(RECAPITULATIF!C89),"",RECAPITULATIF!C89)</f>
        <v/>
      </c>
      <c r="D80" s="69"/>
      <c r="E80" s="70"/>
      <c r="F80" s="70"/>
      <c r="G80" s="71"/>
      <c r="H80" s="70"/>
      <c r="I80" s="72"/>
      <c r="K80" s="70">
        <f>'MVMTS SORTIES &amp; FABRICATIONS'!F80</f>
        <v>0</v>
      </c>
      <c r="L80" s="70">
        <f>'MVMTS SORTIES &amp; FABRICATIONS'!E80</f>
        <v>0</v>
      </c>
    </row>
    <row r="81" spans="1:12" x14ac:dyDescent="0.2">
      <c r="A81" s="50" t="str">
        <f>IF(ISBLANK(RECAPITULATIF!A90),"",RECAPITULATIF!A90)</f>
        <v/>
      </c>
      <c r="B81" s="50" t="str">
        <f>IF(ISBLANK(RECAPITULATIF!B90),"",RECAPITULATIF!B90)</f>
        <v/>
      </c>
      <c r="C81" s="50" t="str">
        <f>IF(ISBLANK(RECAPITULATIF!C90),"",RECAPITULATIF!C90)</f>
        <v/>
      </c>
      <c r="D81" s="69"/>
      <c r="E81" s="70"/>
      <c r="F81" s="70"/>
      <c r="G81" s="71"/>
      <c r="H81" s="70"/>
      <c r="I81" s="72"/>
      <c r="K81" s="70">
        <f>'MVMTS SORTIES &amp; FABRICATIONS'!F81</f>
        <v>0</v>
      </c>
      <c r="L81" s="70">
        <f>'MVMTS SORTIES &amp; FABRICATIONS'!E81</f>
        <v>0</v>
      </c>
    </row>
    <row r="82" spans="1:12" x14ac:dyDescent="0.2">
      <c r="A82" s="50" t="str">
        <f>IF(ISBLANK(RECAPITULATIF!A91),"",RECAPITULATIF!A91)</f>
        <v/>
      </c>
      <c r="B82" s="50" t="str">
        <f>IF(ISBLANK(RECAPITULATIF!B91),"",RECAPITULATIF!B91)</f>
        <v/>
      </c>
      <c r="C82" s="50" t="str">
        <f>IF(ISBLANK(RECAPITULATIF!C91),"",RECAPITULATIF!C91)</f>
        <v/>
      </c>
      <c r="D82" s="69"/>
      <c r="E82" s="70"/>
      <c r="F82" s="70"/>
      <c r="G82" s="71"/>
      <c r="H82" s="70"/>
      <c r="I82" s="72"/>
      <c r="K82" s="70">
        <f>'MVMTS SORTIES &amp; FABRICATIONS'!F82</f>
        <v>0</v>
      </c>
      <c r="L82" s="70">
        <f>'MVMTS SORTIES &amp; FABRICATIONS'!E82</f>
        <v>0</v>
      </c>
    </row>
    <row r="83" spans="1:12" x14ac:dyDescent="0.2">
      <c r="A83" s="50" t="str">
        <f>IF(ISBLANK(RECAPITULATIF!A92),"",RECAPITULATIF!A92)</f>
        <v/>
      </c>
      <c r="B83" s="50" t="str">
        <f>IF(ISBLANK(RECAPITULATIF!B92),"",RECAPITULATIF!B92)</f>
        <v/>
      </c>
      <c r="C83" s="50" t="str">
        <f>IF(ISBLANK(RECAPITULATIF!C92),"",RECAPITULATIF!C92)</f>
        <v/>
      </c>
      <c r="D83" s="69"/>
      <c r="E83" s="70"/>
      <c r="F83" s="70"/>
      <c r="G83" s="71"/>
      <c r="H83" s="70"/>
      <c r="I83" s="72"/>
      <c r="K83" s="70">
        <f>'MVMTS SORTIES &amp; FABRICATIONS'!F83</f>
        <v>0</v>
      </c>
      <c r="L83" s="70">
        <f>'MVMTS SORTIES &amp; FABRICATIONS'!E83</f>
        <v>0</v>
      </c>
    </row>
    <row r="84" spans="1:12" x14ac:dyDescent="0.2">
      <c r="A84" s="50" t="str">
        <f>IF(ISBLANK(RECAPITULATIF!A93),"",RECAPITULATIF!A93)</f>
        <v/>
      </c>
      <c r="B84" s="50" t="str">
        <f>IF(ISBLANK(RECAPITULATIF!B93),"",RECAPITULATIF!B93)</f>
        <v/>
      </c>
      <c r="C84" s="50" t="str">
        <f>IF(ISBLANK(RECAPITULATIF!C93),"",RECAPITULATIF!C93)</f>
        <v/>
      </c>
      <c r="D84" s="69"/>
      <c r="E84" s="70"/>
      <c r="F84" s="70"/>
      <c r="G84" s="71"/>
      <c r="H84" s="70"/>
      <c r="I84" s="72"/>
      <c r="K84" s="70">
        <f>'MVMTS SORTIES &amp; FABRICATIONS'!F84</f>
        <v>0</v>
      </c>
      <c r="L84" s="70">
        <f>'MVMTS SORTIES &amp; FABRICATIONS'!E84</f>
        <v>0</v>
      </c>
    </row>
    <row r="85" spans="1:12" x14ac:dyDescent="0.2">
      <c r="A85" s="50" t="str">
        <f>IF(ISBLANK(RECAPITULATIF!A94),"",RECAPITULATIF!A94)</f>
        <v/>
      </c>
      <c r="B85" s="50" t="str">
        <f>IF(ISBLANK(RECAPITULATIF!B94),"",RECAPITULATIF!B94)</f>
        <v/>
      </c>
      <c r="C85" s="50" t="str">
        <f>IF(ISBLANK(RECAPITULATIF!C94),"",RECAPITULATIF!C94)</f>
        <v/>
      </c>
      <c r="D85" s="69"/>
      <c r="E85" s="70"/>
      <c r="F85" s="70"/>
      <c r="G85" s="71"/>
      <c r="H85" s="70"/>
      <c r="I85" s="72"/>
      <c r="K85" s="70">
        <f>'MVMTS SORTIES &amp; FABRICATIONS'!F85</f>
        <v>0</v>
      </c>
      <c r="L85" s="70">
        <f>'MVMTS SORTIES &amp; FABRICATIONS'!E85</f>
        <v>0</v>
      </c>
    </row>
    <row r="86" spans="1:12" x14ac:dyDescent="0.2">
      <c r="A86" s="50" t="str">
        <f>IF(ISBLANK(RECAPITULATIF!A95),"",RECAPITULATIF!A95)</f>
        <v/>
      </c>
      <c r="B86" s="50" t="str">
        <f>IF(ISBLANK(RECAPITULATIF!B95),"",RECAPITULATIF!B95)</f>
        <v/>
      </c>
      <c r="C86" s="50" t="str">
        <f>IF(ISBLANK(RECAPITULATIF!C95),"",RECAPITULATIF!C95)</f>
        <v/>
      </c>
      <c r="D86" s="69"/>
      <c r="E86" s="70"/>
      <c r="F86" s="70"/>
      <c r="G86" s="71"/>
      <c r="H86" s="70"/>
      <c r="I86" s="72"/>
      <c r="K86" s="70">
        <f>'MVMTS SORTIES &amp; FABRICATIONS'!F86</f>
        <v>0</v>
      </c>
      <c r="L86" s="70">
        <f>'MVMTS SORTIES &amp; FABRICATIONS'!E86</f>
        <v>0</v>
      </c>
    </row>
    <row r="87" spans="1:12" x14ac:dyDescent="0.2">
      <c r="A87" s="50" t="str">
        <f>IF(ISBLANK(RECAPITULATIF!A96),"",RECAPITULATIF!A96)</f>
        <v/>
      </c>
      <c r="B87" s="50" t="str">
        <f>IF(ISBLANK(RECAPITULATIF!B96),"",RECAPITULATIF!B96)</f>
        <v/>
      </c>
      <c r="C87" s="50" t="str">
        <f>IF(ISBLANK(RECAPITULATIF!C96),"",RECAPITULATIF!C96)</f>
        <v/>
      </c>
      <c r="D87" s="69"/>
      <c r="E87" s="70"/>
      <c r="F87" s="70"/>
      <c r="G87" s="71"/>
      <c r="H87" s="70"/>
      <c r="I87" s="72"/>
      <c r="K87" s="70">
        <f>'MVMTS SORTIES &amp; FABRICATIONS'!F87</f>
        <v>0</v>
      </c>
      <c r="L87" s="70">
        <f>'MVMTS SORTIES &amp; FABRICATIONS'!E87</f>
        <v>0</v>
      </c>
    </row>
    <row r="88" spans="1:12" x14ac:dyDescent="0.2">
      <c r="A88" s="50" t="str">
        <f>IF(ISBLANK(RECAPITULATIF!A97),"",RECAPITULATIF!A97)</f>
        <v/>
      </c>
      <c r="B88" s="50" t="str">
        <f>IF(ISBLANK(RECAPITULATIF!B97),"",RECAPITULATIF!B97)</f>
        <v/>
      </c>
      <c r="C88" s="50" t="str">
        <f>IF(ISBLANK(RECAPITULATIF!C97),"",RECAPITULATIF!C97)</f>
        <v/>
      </c>
      <c r="D88" s="69"/>
      <c r="E88" s="70"/>
      <c r="F88" s="70"/>
      <c r="G88" s="71"/>
      <c r="H88" s="70"/>
      <c r="I88" s="72"/>
      <c r="K88" s="70">
        <f>'MVMTS SORTIES &amp; FABRICATIONS'!F88</f>
        <v>0</v>
      </c>
      <c r="L88" s="70">
        <f>'MVMTS SORTIES &amp; FABRICATIONS'!E88</f>
        <v>0</v>
      </c>
    </row>
    <row r="89" spans="1:12" x14ac:dyDescent="0.2">
      <c r="A89" s="50" t="str">
        <f>IF(ISBLANK(RECAPITULATIF!A98),"",RECAPITULATIF!A98)</f>
        <v/>
      </c>
      <c r="B89" s="50" t="str">
        <f>IF(ISBLANK(RECAPITULATIF!B98),"",RECAPITULATIF!B98)</f>
        <v/>
      </c>
      <c r="C89" s="50" t="str">
        <f>IF(ISBLANK(RECAPITULATIF!C98),"",RECAPITULATIF!C98)</f>
        <v/>
      </c>
      <c r="D89" s="69"/>
      <c r="E89" s="70"/>
      <c r="F89" s="70"/>
      <c r="G89" s="71"/>
      <c r="H89" s="70"/>
      <c r="I89" s="72"/>
      <c r="K89" s="70">
        <f>'MVMTS SORTIES &amp; FABRICATIONS'!F89</f>
        <v>0</v>
      </c>
      <c r="L89" s="70">
        <f>'MVMTS SORTIES &amp; FABRICATIONS'!E89</f>
        <v>0</v>
      </c>
    </row>
    <row r="90" spans="1:12" x14ac:dyDescent="0.2">
      <c r="A90" s="50" t="str">
        <f>IF(ISBLANK(RECAPITULATIF!A99),"",RECAPITULATIF!A99)</f>
        <v/>
      </c>
      <c r="B90" s="50" t="str">
        <f>IF(ISBLANK(RECAPITULATIF!B99),"",RECAPITULATIF!B99)</f>
        <v/>
      </c>
      <c r="C90" s="50" t="str">
        <f>IF(ISBLANK(RECAPITULATIF!C99),"",RECAPITULATIF!C99)</f>
        <v/>
      </c>
      <c r="D90" s="69"/>
      <c r="E90" s="70"/>
      <c r="F90" s="70"/>
      <c r="G90" s="71"/>
      <c r="H90" s="70"/>
      <c r="I90" s="72"/>
      <c r="K90" s="70">
        <f>'MVMTS SORTIES &amp; FABRICATIONS'!F90</f>
        <v>0</v>
      </c>
      <c r="L90" s="70">
        <f>'MVMTS SORTIES &amp; FABRICATIONS'!E90</f>
        <v>0</v>
      </c>
    </row>
    <row r="91" spans="1:12" x14ac:dyDescent="0.2">
      <c r="A91" s="50" t="str">
        <f>IF(ISBLANK(RECAPITULATIF!A100),"",RECAPITULATIF!A100)</f>
        <v/>
      </c>
      <c r="B91" s="50" t="str">
        <f>IF(ISBLANK(RECAPITULATIF!B100),"",RECAPITULATIF!B100)</f>
        <v/>
      </c>
      <c r="C91" s="50" t="str">
        <f>IF(ISBLANK(RECAPITULATIF!C100),"",RECAPITULATIF!C100)</f>
        <v/>
      </c>
      <c r="D91" s="69"/>
      <c r="E91" s="70"/>
      <c r="F91" s="70"/>
      <c r="G91" s="71"/>
      <c r="H91" s="70"/>
      <c r="I91" s="72"/>
      <c r="K91" s="70">
        <f>'MVMTS SORTIES &amp; FABRICATIONS'!F91</f>
        <v>0</v>
      </c>
      <c r="L91" s="70">
        <f>'MVMTS SORTIES &amp; FABRICATIONS'!E91</f>
        <v>0</v>
      </c>
    </row>
    <row r="92" spans="1:12" x14ac:dyDescent="0.2">
      <c r="A92" s="50" t="str">
        <f>IF(ISBLANK(RECAPITULATIF!A101),"",RECAPITULATIF!A101)</f>
        <v/>
      </c>
      <c r="B92" s="50" t="str">
        <f>IF(ISBLANK(RECAPITULATIF!B101),"",RECAPITULATIF!B101)</f>
        <v/>
      </c>
      <c r="C92" s="50" t="str">
        <f>IF(ISBLANK(RECAPITULATIF!C101),"",RECAPITULATIF!C101)</f>
        <v/>
      </c>
      <c r="D92" s="69"/>
      <c r="E92" s="70"/>
      <c r="F92" s="70"/>
      <c r="G92" s="71"/>
      <c r="H92" s="70"/>
      <c r="I92" s="72"/>
      <c r="K92" s="70">
        <f>'MVMTS SORTIES &amp; FABRICATIONS'!F92</f>
        <v>0</v>
      </c>
      <c r="L92" s="70">
        <f>'MVMTS SORTIES &amp; FABRICATIONS'!E92</f>
        <v>0</v>
      </c>
    </row>
    <row r="93" spans="1:12" x14ac:dyDescent="0.2">
      <c r="A93" s="50" t="str">
        <f>IF(ISBLANK(RECAPITULATIF!A102),"",RECAPITULATIF!A102)</f>
        <v/>
      </c>
      <c r="B93" s="50" t="str">
        <f>IF(ISBLANK(RECAPITULATIF!B102),"",RECAPITULATIF!B102)</f>
        <v/>
      </c>
      <c r="C93" s="50" t="str">
        <f>IF(ISBLANK(RECAPITULATIF!C102),"",RECAPITULATIF!C102)</f>
        <v/>
      </c>
      <c r="D93" s="69"/>
      <c r="E93" s="70"/>
      <c r="F93" s="70"/>
      <c r="G93" s="71"/>
      <c r="H93" s="70"/>
      <c r="I93" s="72"/>
      <c r="K93" s="70">
        <f>'MVMTS SORTIES &amp; FABRICATIONS'!F93</f>
        <v>0</v>
      </c>
      <c r="L93" s="70">
        <f>'MVMTS SORTIES &amp; FABRICATIONS'!E93</f>
        <v>0</v>
      </c>
    </row>
    <row r="94" spans="1:12" x14ac:dyDescent="0.2">
      <c r="A94" s="50" t="str">
        <f>IF(ISBLANK(RECAPITULATIF!A103),"",RECAPITULATIF!A103)</f>
        <v/>
      </c>
      <c r="B94" s="50" t="str">
        <f>IF(ISBLANK(RECAPITULATIF!B103),"",RECAPITULATIF!B103)</f>
        <v/>
      </c>
      <c r="C94" s="50" t="str">
        <f>IF(ISBLANK(RECAPITULATIF!C103),"",RECAPITULATIF!C103)</f>
        <v/>
      </c>
      <c r="D94" s="69"/>
      <c r="E94" s="70"/>
      <c r="F94" s="70"/>
      <c r="G94" s="71"/>
      <c r="H94" s="70"/>
      <c r="I94" s="72"/>
      <c r="K94" s="70">
        <f>'MVMTS SORTIES &amp; FABRICATIONS'!F94</f>
        <v>0</v>
      </c>
      <c r="L94" s="70">
        <f>'MVMTS SORTIES &amp; FABRICATIONS'!E94</f>
        <v>0</v>
      </c>
    </row>
    <row r="95" spans="1:12" x14ac:dyDescent="0.2">
      <c r="A95" s="50" t="str">
        <f>IF(ISBLANK(RECAPITULATIF!A104),"",RECAPITULATIF!A104)</f>
        <v/>
      </c>
      <c r="B95" s="50" t="str">
        <f>IF(ISBLANK(RECAPITULATIF!B104),"",RECAPITULATIF!B104)</f>
        <v/>
      </c>
      <c r="C95" s="50" t="str">
        <f>IF(ISBLANK(RECAPITULATIF!C104),"",RECAPITULATIF!C104)</f>
        <v/>
      </c>
      <c r="D95" s="69"/>
      <c r="E95" s="70"/>
      <c r="F95" s="70"/>
      <c r="G95" s="71"/>
      <c r="H95" s="70"/>
      <c r="I95" s="72"/>
      <c r="K95" s="70">
        <f>'MVMTS SORTIES &amp; FABRICATIONS'!F95</f>
        <v>0</v>
      </c>
      <c r="L95" s="70">
        <f>'MVMTS SORTIES &amp; FABRICATIONS'!E95</f>
        <v>0</v>
      </c>
    </row>
    <row r="96" spans="1:12" x14ac:dyDescent="0.2">
      <c r="A96" s="50" t="str">
        <f>IF(ISBLANK(RECAPITULATIF!A105),"",RECAPITULATIF!A105)</f>
        <v/>
      </c>
      <c r="B96" s="50" t="str">
        <f>IF(ISBLANK(RECAPITULATIF!B105),"",RECAPITULATIF!B105)</f>
        <v/>
      </c>
      <c r="C96" s="50" t="str">
        <f>IF(ISBLANK(RECAPITULATIF!C105),"",RECAPITULATIF!C105)</f>
        <v/>
      </c>
      <c r="D96" s="69"/>
      <c r="E96" s="70"/>
      <c r="F96" s="70"/>
      <c r="G96" s="71"/>
      <c r="H96" s="70"/>
      <c r="I96" s="72"/>
      <c r="K96" s="70">
        <f>'MVMTS SORTIES &amp; FABRICATIONS'!F96</f>
        <v>0</v>
      </c>
      <c r="L96" s="70">
        <f>'MVMTS SORTIES &amp; FABRICATIONS'!E96</f>
        <v>0</v>
      </c>
    </row>
    <row r="97" spans="1:12" x14ac:dyDescent="0.2">
      <c r="A97" s="50" t="str">
        <f>IF(ISBLANK(RECAPITULATIF!A106),"",RECAPITULATIF!A106)</f>
        <v/>
      </c>
      <c r="B97" s="50" t="str">
        <f>IF(ISBLANK(RECAPITULATIF!B106),"",RECAPITULATIF!B106)</f>
        <v/>
      </c>
      <c r="C97" s="50" t="str">
        <f>IF(ISBLANK(RECAPITULATIF!C106),"",RECAPITULATIF!C106)</f>
        <v/>
      </c>
      <c r="D97" s="69"/>
      <c r="E97" s="70"/>
      <c r="F97" s="70"/>
      <c r="G97" s="71"/>
      <c r="H97" s="70"/>
      <c r="I97" s="72"/>
      <c r="K97" s="70">
        <f>'MVMTS SORTIES &amp; FABRICATIONS'!F97</f>
        <v>0</v>
      </c>
      <c r="L97" s="70">
        <f>'MVMTS SORTIES &amp; FABRICATIONS'!E97</f>
        <v>0</v>
      </c>
    </row>
    <row r="98" spans="1:12" x14ac:dyDescent="0.2">
      <c r="A98" s="50" t="str">
        <f>IF(ISBLANK(RECAPITULATIF!A107),"",RECAPITULATIF!A107)</f>
        <v/>
      </c>
      <c r="B98" s="50" t="str">
        <f>IF(ISBLANK(RECAPITULATIF!B107),"",RECAPITULATIF!B107)</f>
        <v/>
      </c>
      <c r="C98" s="50" t="str">
        <f>IF(ISBLANK(RECAPITULATIF!C107),"",RECAPITULATIF!C107)</f>
        <v/>
      </c>
      <c r="D98" s="69"/>
      <c r="E98" s="70"/>
      <c r="F98" s="70"/>
      <c r="G98" s="71"/>
      <c r="H98" s="70"/>
      <c r="I98" s="72"/>
      <c r="K98" s="70">
        <f>'MVMTS SORTIES &amp; FABRICATIONS'!F98</f>
        <v>0</v>
      </c>
      <c r="L98" s="70">
        <f>'MVMTS SORTIES &amp; FABRICATIONS'!E98</f>
        <v>0</v>
      </c>
    </row>
    <row r="99" spans="1:12" x14ac:dyDescent="0.2">
      <c r="A99" s="50" t="str">
        <f>IF(ISBLANK(RECAPITULATIF!A108),"",RECAPITULATIF!A108)</f>
        <v/>
      </c>
      <c r="B99" s="50" t="str">
        <f>IF(ISBLANK(RECAPITULATIF!B108),"",RECAPITULATIF!B108)</f>
        <v/>
      </c>
      <c r="C99" s="50" t="str">
        <f>IF(ISBLANK(RECAPITULATIF!C108),"",RECAPITULATIF!C108)</f>
        <v/>
      </c>
      <c r="D99" s="69"/>
      <c r="E99" s="70"/>
      <c r="F99" s="70"/>
      <c r="G99" s="71"/>
      <c r="H99" s="70"/>
      <c r="I99" s="72"/>
      <c r="K99" s="70">
        <f>'MVMTS SORTIES &amp; FABRICATIONS'!F99</f>
        <v>0</v>
      </c>
      <c r="L99" s="70">
        <f>'MVMTS SORTIES &amp; FABRICATIONS'!E99</f>
        <v>0</v>
      </c>
    </row>
    <row r="100" spans="1:12" x14ac:dyDescent="0.2">
      <c r="A100" s="50" t="str">
        <f>IF(ISBLANK(RECAPITULATIF!A109),"",RECAPITULATIF!A109)</f>
        <v/>
      </c>
      <c r="B100" s="50" t="str">
        <f>IF(ISBLANK(RECAPITULATIF!B109),"",RECAPITULATIF!B109)</f>
        <v/>
      </c>
      <c r="C100" s="50" t="str">
        <f>IF(ISBLANK(RECAPITULATIF!C109),"",RECAPITULATIF!C109)</f>
        <v/>
      </c>
      <c r="D100" s="69"/>
      <c r="E100" s="70"/>
      <c r="F100" s="70"/>
      <c r="G100" s="71"/>
      <c r="H100" s="70"/>
      <c r="I100" s="72"/>
      <c r="K100" s="70">
        <f>'MVMTS SORTIES &amp; FABRICATIONS'!F100</f>
        <v>0</v>
      </c>
      <c r="L100" s="70">
        <f>'MVMTS SORTIES &amp; FABRICATIONS'!E100</f>
        <v>0</v>
      </c>
    </row>
    <row r="101" spans="1:12" x14ac:dyDescent="0.2">
      <c r="A101" s="50" t="str">
        <f>IF(ISBLANK(RECAPITULATIF!A110),"",RECAPITULATIF!A110)</f>
        <v/>
      </c>
      <c r="B101" s="50" t="str">
        <f>IF(ISBLANK(RECAPITULATIF!B110),"",RECAPITULATIF!B110)</f>
        <v/>
      </c>
      <c r="C101" s="50" t="str">
        <f>IF(ISBLANK(RECAPITULATIF!C110),"",RECAPITULATIF!C110)</f>
        <v/>
      </c>
      <c r="D101" s="69"/>
      <c r="E101" s="70"/>
      <c r="F101" s="70"/>
      <c r="G101" s="71"/>
      <c r="H101" s="70"/>
      <c r="I101" s="72"/>
      <c r="K101" s="70">
        <f>'MVMTS SORTIES &amp; FABRICATIONS'!F101</f>
        <v>0</v>
      </c>
      <c r="L101" s="70">
        <f>'MVMTS SORTIES &amp; FABRICATIONS'!E101</f>
        <v>0</v>
      </c>
    </row>
    <row r="102" spans="1:12" x14ac:dyDescent="0.2">
      <c r="A102" s="50" t="str">
        <f>IF(ISBLANK(RECAPITULATIF!A111),"",RECAPITULATIF!A111)</f>
        <v/>
      </c>
      <c r="B102" s="50" t="str">
        <f>IF(ISBLANK(RECAPITULATIF!B111),"",RECAPITULATIF!B111)</f>
        <v/>
      </c>
      <c r="C102" s="50" t="str">
        <f>IF(ISBLANK(RECAPITULATIF!C111),"",RECAPITULATIF!C111)</f>
        <v/>
      </c>
      <c r="D102" s="69"/>
      <c r="E102" s="70"/>
      <c r="F102" s="70"/>
      <c r="G102" s="71"/>
      <c r="H102" s="70"/>
      <c r="I102" s="72"/>
      <c r="K102" s="70">
        <f>'MVMTS SORTIES &amp; FABRICATIONS'!F102</f>
        <v>0</v>
      </c>
      <c r="L102" s="70">
        <f>'MVMTS SORTIES &amp; FABRICATIONS'!E102</f>
        <v>0</v>
      </c>
    </row>
    <row r="103" spans="1:12" x14ac:dyDescent="0.2">
      <c r="A103" s="50" t="str">
        <f>IF(ISBLANK(RECAPITULATIF!A112),"",RECAPITULATIF!A112)</f>
        <v/>
      </c>
      <c r="B103" s="50" t="str">
        <f>IF(ISBLANK(RECAPITULATIF!B112),"",RECAPITULATIF!B112)</f>
        <v/>
      </c>
      <c r="C103" s="50" t="str">
        <f>IF(ISBLANK(RECAPITULATIF!C112),"",RECAPITULATIF!C112)</f>
        <v/>
      </c>
      <c r="D103" s="69"/>
      <c r="E103" s="70"/>
      <c r="F103" s="70"/>
      <c r="G103" s="71"/>
      <c r="H103" s="70"/>
      <c r="I103" s="72"/>
      <c r="K103" s="70">
        <f>'MVMTS SORTIES &amp; FABRICATIONS'!F103</f>
        <v>0</v>
      </c>
      <c r="L103" s="70">
        <f>'MVMTS SORTIES &amp; FABRICATIONS'!E103</f>
        <v>0</v>
      </c>
    </row>
    <row r="104" spans="1:12" x14ac:dyDescent="0.2">
      <c r="A104" s="50" t="str">
        <f>IF(ISBLANK(RECAPITULATIF!A113),"",RECAPITULATIF!A113)</f>
        <v/>
      </c>
      <c r="B104" s="50" t="str">
        <f>IF(ISBLANK(RECAPITULATIF!B113),"",RECAPITULATIF!B113)</f>
        <v/>
      </c>
      <c r="C104" s="50" t="str">
        <f>IF(ISBLANK(RECAPITULATIF!C113),"",RECAPITULATIF!C113)</f>
        <v/>
      </c>
      <c r="D104" s="69"/>
      <c r="E104" s="70"/>
      <c r="F104" s="70"/>
      <c r="G104" s="71"/>
      <c r="H104" s="70"/>
      <c r="I104" s="72"/>
      <c r="K104" s="70">
        <f>'MVMTS SORTIES &amp; FABRICATIONS'!F104</f>
        <v>0</v>
      </c>
      <c r="L104" s="70">
        <f>'MVMTS SORTIES &amp; FABRICATIONS'!E104</f>
        <v>0</v>
      </c>
    </row>
    <row r="105" spans="1:12" x14ac:dyDescent="0.2">
      <c r="A105" s="50" t="str">
        <f>IF(ISBLANK(RECAPITULATIF!A114),"",RECAPITULATIF!A114)</f>
        <v/>
      </c>
      <c r="B105" s="50" t="str">
        <f>IF(ISBLANK(RECAPITULATIF!B114),"",RECAPITULATIF!B114)</f>
        <v/>
      </c>
      <c r="C105" s="50" t="str">
        <f>IF(ISBLANK(RECAPITULATIF!C114),"",RECAPITULATIF!C114)</f>
        <v/>
      </c>
      <c r="D105" s="69"/>
      <c r="E105" s="70"/>
      <c r="F105" s="70"/>
      <c r="G105" s="71"/>
      <c r="H105" s="70"/>
      <c r="I105" s="72"/>
      <c r="K105" s="70">
        <f>'MVMTS SORTIES &amp; FABRICATIONS'!F105</f>
        <v>0</v>
      </c>
      <c r="L105" s="70">
        <f>'MVMTS SORTIES &amp; FABRICATIONS'!E105</f>
        <v>0</v>
      </c>
    </row>
    <row r="106" spans="1:12" x14ac:dyDescent="0.2">
      <c r="A106" s="50" t="str">
        <f>IF(ISBLANK(RECAPITULATIF!A115),"",RECAPITULATIF!A115)</f>
        <v/>
      </c>
      <c r="B106" s="50" t="str">
        <f>IF(ISBLANK(RECAPITULATIF!B115),"",RECAPITULATIF!B115)</f>
        <v/>
      </c>
      <c r="C106" s="50" t="str">
        <f>IF(ISBLANK(RECAPITULATIF!C115),"",RECAPITULATIF!C115)</f>
        <v/>
      </c>
      <c r="D106" s="69"/>
      <c r="E106" s="70"/>
      <c r="F106" s="70"/>
      <c r="G106" s="71"/>
      <c r="H106" s="70"/>
      <c r="I106" s="72"/>
      <c r="K106" s="70">
        <f>'MVMTS SORTIES &amp; FABRICATIONS'!F106</f>
        <v>0</v>
      </c>
      <c r="L106" s="70">
        <f>'MVMTS SORTIES &amp; FABRICATIONS'!E106</f>
        <v>0</v>
      </c>
    </row>
    <row r="107" spans="1:12" x14ac:dyDescent="0.2">
      <c r="A107" s="50" t="str">
        <f>IF(ISBLANK(RECAPITULATIF!A116),"",RECAPITULATIF!A116)</f>
        <v/>
      </c>
      <c r="B107" s="50" t="str">
        <f>IF(ISBLANK(RECAPITULATIF!B116),"",RECAPITULATIF!B116)</f>
        <v/>
      </c>
      <c r="C107" s="50" t="str">
        <f>IF(ISBLANK(RECAPITULATIF!C116),"",RECAPITULATIF!C116)</f>
        <v/>
      </c>
      <c r="D107" s="69"/>
      <c r="E107" s="70"/>
      <c r="F107" s="70"/>
      <c r="G107" s="71"/>
      <c r="H107" s="70"/>
      <c r="I107" s="72"/>
      <c r="K107" s="70">
        <f>'MVMTS SORTIES &amp; FABRICATIONS'!F107</f>
        <v>0</v>
      </c>
      <c r="L107" s="70">
        <f>'MVMTS SORTIES &amp; FABRICATIONS'!E107</f>
        <v>0</v>
      </c>
    </row>
    <row r="108" spans="1:12" x14ac:dyDescent="0.2">
      <c r="A108" s="50" t="str">
        <f>IF(ISBLANK(RECAPITULATIF!A117),"",RECAPITULATIF!A117)</f>
        <v/>
      </c>
      <c r="B108" s="50" t="str">
        <f>IF(ISBLANK(RECAPITULATIF!B117),"",RECAPITULATIF!B117)</f>
        <v/>
      </c>
      <c r="C108" s="50" t="str">
        <f>IF(ISBLANK(RECAPITULATIF!C117),"",RECAPITULATIF!C117)</f>
        <v/>
      </c>
      <c r="D108" s="69"/>
      <c r="E108" s="70"/>
      <c r="F108" s="70"/>
      <c r="G108" s="71"/>
      <c r="H108" s="70"/>
      <c r="I108" s="72"/>
      <c r="K108" s="70">
        <f>'MVMTS SORTIES &amp; FABRICATIONS'!F108</f>
        <v>0</v>
      </c>
      <c r="L108" s="70">
        <f>'MVMTS SORTIES &amp; FABRICATIONS'!E108</f>
        <v>0</v>
      </c>
    </row>
    <row r="109" spans="1:12" x14ac:dyDescent="0.2">
      <c r="A109" s="50" t="str">
        <f>IF(ISBLANK(RECAPITULATIF!A118),"",RECAPITULATIF!A118)</f>
        <v/>
      </c>
      <c r="B109" s="50" t="str">
        <f>IF(ISBLANK(RECAPITULATIF!B118),"",RECAPITULATIF!B118)</f>
        <v/>
      </c>
      <c r="C109" s="50" t="str">
        <f>IF(ISBLANK(RECAPITULATIF!C118),"",RECAPITULATIF!C118)</f>
        <v/>
      </c>
      <c r="D109" s="69"/>
      <c r="E109" s="70"/>
      <c r="F109" s="70"/>
      <c r="G109" s="71"/>
      <c r="H109" s="70"/>
      <c r="I109" s="72"/>
      <c r="K109" s="70">
        <f>'MVMTS SORTIES &amp; FABRICATIONS'!F109</f>
        <v>0</v>
      </c>
      <c r="L109" s="70">
        <f>'MVMTS SORTIES &amp; FABRICATIONS'!E109</f>
        <v>0</v>
      </c>
    </row>
    <row r="110" spans="1:12" x14ac:dyDescent="0.2">
      <c r="A110" s="50" t="str">
        <f>IF(ISBLANK(RECAPITULATIF!A119),"",RECAPITULATIF!A119)</f>
        <v/>
      </c>
      <c r="B110" s="50" t="str">
        <f>IF(ISBLANK(RECAPITULATIF!B119),"",RECAPITULATIF!B119)</f>
        <v/>
      </c>
      <c r="C110" s="50" t="str">
        <f>IF(ISBLANK(RECAPITULATIF!C119),"",RECAPITULATIF!C119)</f>
        <v/>
      </c>
      <c r="D110" s="69"/>
      <c r="E110" s="70"/>
      <c r="F110" s="70"/>
      <c r="G110" s="71"/>
      <c r="H110" s="70"/>
      <c r="I110" s="72"/>
      <c r="K110" s="70">
        <f>'MVMTS SORTIES &amp; FABRICATIONS'!F110</f>
        <v>0</v>
      </c>
      <c r="L110" s="70">
        <f>'MVMTS SORTIES &amp; FABRICATIONS'!E110</f>
        <v>0</v>
      </c>
    </row>
    <row r="111" spans="1:12" x14ac:dyDescent="0.2">
      <c r="A111" s="50" t="str">
        <f>IF(ISBLANK(RECAPITULATIF!A120),"",RECAPITULATIF!A120)</f>
        <v/>
      </c>
      <c r="B111" s="50" t="str">
        <f>IF(ISBLANK(RECAPITULATIF!B120),"",RECAPITULATIF!B120)</f>
        <v/>
      </c>
      <c r="C111" s="50" t="str">
        <f>IF(ISBLANK(RECAPITULATIF!C120),"",RECAPITULATIF!C120)</f>
        <v/>
      </c>
      <c r="D111" s="69"/>
      <c r="E111" s="70"/>
      <c r="F111" s="70"/>
      <c r="G111" s="71"/>
      <c r="H111" s="70"/>
      <c r="I111" s="72"/>
      <c r="K111" s="70">
        <f>'MVMTS SORTIES &amp; FABRICATIONS'!F111</f>
        <v>0</v>
      </c>
      <c r="L111" s="70">
        <f>'MVMTS SORTIES &amp; FABRICATIONS'!E111</f>
        <v>0</v>
      </c>
    </row>
    <row r="112" spans="1:12" x14ac:dyDescent="0.2">
      <c r="A112" s="50" t="str">
        <f>IF(ISBLANK(RECAPITULATIF!A121),"",RECAPITULATIF!A121)</f>
        <v/>
      </c>
      <c r="B112" s="50" t="str">
        <f>IF(ISBLANK(RECAPITULATIF!B121),"",RECAPITULATIF!B121)</f>
        <v/>
      </c>
      <c r="C112" s="50" t="str">
        <f>IF(ISBLANK(RECAPITULATIF!C121),"",RECAPITULATIF!C121)</f>
        <v/>
      </c>
      <c r="D112" s="69"/>
      <c r="E112" s="70"/>
      <c r="F112" s="70"/>
      <c r="G112" s="71"/>
      <c r="H112" s="70"/>
      <c r="I112" s="72"/>
      <c r="K112" s="70">
        <f>'MVMTS SORTIES &amp; FABRICATIONS'!F112</f>
        <v>0</v>
      </c>
      <c r="L112" s="70">
        <f>'MVMTS SORTIES &amp; FABRICATIONS'!E112</f>
        <v>0</v>
      </c>
    </row>
    <row r="113" spans="1:12" x14ac:dyDescent="0.2">
      <c r="A113" s="50" t="str">
        <f>IF(ISBLANK(RECAPITULATIF!A122),"",RECAPITULATIF!A122)</f>
        <v/>
      </c>
      <c r="B113" s="50" t="str">
        <f>IF(ISBLANK(RECAPITULATIF!B122),"",RECAPITULATIF!B122)</f>
        <v/>
      </c>
      <c r="C113" s="50" t="str">
        <f>IF(ISBLANK(RECAPITULATIF!C122),"",RECAPITULATIF!C122)</f>
        <v/>
      </c>
      <c r="D113" s="69"/>
      <c r="E113" s="70"/>
      <c r="F113" s="70"/>
      <c r="G113" s="71"/>
      <c r="H113" s="70"/>
      <c r="I113" s="72"/>
      <c r="K113" s="70">
        <f>'MVMTS SORTIES &amp; FABRICATIONS'!F113</f>
        <v>0</v>
      </c>
      <c r="L113" s="70">
        <f>'MVMTS SORTIES &amp; FABRICATIONS'!E113</f>
        <v>0</v>
      </c>
    </row>
    <row r="114" spans="1:12" x14ac:dyDescent="0.2">
      <c r="A114" s="50" t="str">
        <f>IF(ISBLANK(RECAPITULATIF!A123),"",RECAPITULATIF!A123)</f>
        <v/>
      </c>
      <c r="B114" s="50" t="str">
        <f>IF(ISBLANK(RECAPITULATIF!B123),"",RECAPITULATIF!B123)</f>
        <v/>
      </c>
      <c r="C114" s="50" t="str">
        <f>IF(ISBLANK(RECAPITULATIF!C123),"",RECAPITULATIF!C123)</f>
        <v/>
      </c>
      <c r="D114" s="69"/>
      <c r="E114" s="70"/>
      <c r="F114" s="70"/>
      <c r="G114" s="71"/>
      <c r="H114" s="70"/>
      <c r="I114" s="72"/>
      <c r="K114" s="70">
        <f>'MVMTS SORTIES &amp; FABRICATIONS'!F114</f>
        <v>0</v>
      </c>
      <c r="L114" s="70">
        <f>'MVMTS SORTIES &amp; FABRICATIONS'!E114</f>
        <v>0</v>
      </c>
    </row>
    <row r="115" spans="1:12" x14ac:dyDescent="0.2">
      <c r="A115" s="50" t="str">
        <f>IF(ISBLANK(RECAPITULATIF!A124),"",RECAPITULATIF!A124)</f>
        <v/>
      </c>
      <c r="B115" s="50" t="str">
        <f>IF(ISBLANK(RECAPITULATIF!B124),"",RECAPITULATIF!B124)</f>
        <v/>
      </c>
      <c r="C115" s="50" t="str">
        <f>IF(ISBLANK(RECAPITULATIF!C124),"",RECAPITULATIF!C124)</f>
        <v/>
      </c>
      <c r="D115" s="69"/>
      <c r="E115" s="70"/>
      <c r="F115" s="70"/>
      <c r="G115" s="71"/>
      <c r="H115" s="70"/>
      <c r="I115" s="72"/>
      <c r="K115" s="70">
        <f>'MVMTS SORTIES &amp; FABRICATIONS'!F115</f>
        <v>0</v>
      </c>
      <c r="L115" s="70">
        <f>'MVMTS SORTIES &amp; FABRICATIONS'!E115</f>
        <v>0</v>
      </c>
    </row>
    <row r="116" spans="1:12" x14ac:dyDescent="0.2">
      <c r="A116" s="50" t="str">
        <f>IF(ISBLANK(RECAPITULATIF!A125),"",RECAPITULATIF!A125)</f>
        <v/>
      </c>
      <c r="B116" s="50" t="str">
        <f>IF(ISBLANK(RECAPITULATIF!B125),"",RECAPITULATIF!B125)</f>
        <v/>
      </c>
      <c r="C116" s="50" t="str">
        <f>IF(ISBLANK(RECAPITULATIF!C125),"",RECAPITULATIF!C125)</f>
        <v/>
      </c>
      <c r="D116" s="69"/>
      <c r="E116" s="70"/>
      <c r="F116" s="70"/>
      <c r="G116" s="71"/>
      <c r="H116" s="70"/>
      <c r="I116" s="72"/>
      <c r="K116" s="70">
        <f>'MVMTS SORTIES &amp; FABRICATIONS'!F116</f>
        <v>0</v>
      </c>
      <c r="L116" s="70">
        <f>'MVMTS SORTIES &amp; FABRICATIONS'!E116</f>
        <v>0</v>
      </c>
    </row>
    <row r="117" spans="1:12" x14ac:dyDescent="0.2">
      <c r="A117" s="50" t="str">
        <f>IF(ISBLANK(RECAPITULATIF!A126),"",RECAPITULATIF!A126)</f>
        <v/>
      </c>
      <c r="B117" s="50" t="str">
        <f>IF(ISBLANK(RECAPITULATIF!B126),"",RECAPITULATIF!B126)</f>
        <v/>
      </c>
      <c r="C117" s="50" t="str">
        <f>IF(ISBLANK(RECAPITULATIF!C126),"",RECAPITULATIF!C126)</f>
        <v/>
      </c>
      <c r="D117" s="69"/>
      <c r="E117" s="70"/>
      <c r="F117" s="70"/>
      <c r="G117" s="71"/>
      <c r="H117" s="70"/>
      <c r="I117" s="72"/>
      <c r="K117" s="70">
        <f>'MVMTS SORTIES &amp; FABRICATIONS'!F117</f>
        <v>0</v>
      </c>
      <c r="L117" s="70">
        <f>'MVMTS SORTIES &amp; FABRICATIONS'!E117</f>
        <v>0</v>
      </c>
    </row>
    <row r="118" spans="1:12" x14ac:dyDescent="0.2">
      <c r="A118" s="50" t="str">
        <f>IF(ISBLANK(RECAPITULATIF!A127),"",RECAPITULATIF!A127)</f>
        <v/>
      </c>
      <c r="B118" s="50" t="str">
        <f>IF(ISBLANK(RECAPITULATIF!B127),"",RECAPITULATIF!B127)</f>
        <v/>
      </c>
      <c r="C118" s="50" t="str">
        <f>IF(ISBLANK(RECAPITULATIF!C127),"",RECAPITULATIF!C127)</f>
        <v/>
      </c>
      <c r="D118" s="69"/>
      <c r="E118" s="70"/>
      <c r="F118" s="70"/>
      <c r="G118" s="71"/>
      <c r="H118" s="70"/>
      <c r="I118" s="72"/>
      <c r="K118" s="70">
        <f>'MVMTS SORTIES &amp; FABRICATIONS'!F118</f>
        <v>0</v>
      </c>
      <c r="L118" s="70">
        <f>'MVMTS SORTIES &amp; FABRICATIONS'!E118</f>
        <v>0</v>
      </c>
    </row>
    <row r="119" spans="1:12" x14ac:dyDescent="0.2">
      <c r="A119" s="50" t="str">
        <f>IF(ISBLANK(RECAPITULATIF!A128),"",RECAPITULATIF!A128)</f>
        <v/>
      </c>
      <c r="B119" s="50" t="str">
        <f>IF(ISBLANK(RECAPITULATIF!B128),"",RECAPITULATIF!B128)</f>
        <v/>
      </c>
      <c r="C119" s="50" t="str">
        <f>IF(ISBLANK(RECAPITULATIF!C128),"",RECAPITULATIF!C128)</f>
        <v/>
      </c>
      <c r="D119" s="69"/>
      <c r="E119" s="70"/>
      <c r="F119" s="70"/>
      <c r="G119" s="71"/>
      <c r="H119" s="70"/>
      <c r="I119" s="72"/>
      <c r="K119" s="70">
        <f>'MVMTS SORTIES &amp; FABRICATIONS'!F119</f>
        <v>0</v>
      </c>
      <c r="L119" s="70">
        <f>'MVMTS SORTIES &amp; FABRICATIONS'!E119</f>
        <v>0</v>
      </c>
    </row>
    <row r="120" spans="1:12" x14ac:dyDescent="0.2">
      <c r="A120" s="50" t="str">
        <f>IF(ISBLANK(RECAPITULATIF!A129),"",RECAPITULATIF!A129)</f>
        <v/>
      </c>
      <c r="B120" s="50" t="str">
        <f>IF(ISBLANK(RECAPITULATIF!B129),"",RECAPITULATIF!B129)</f>
        <v/>
      </c>
      <c r="C120" s="50" t="str">
        <f>IF(ISBLANK(RECAPITULATIF!C129),"",RECAPITULATIF!C129)</f>
        <v/>
      </c>
      <c r="D120" s="69"/>
      <c r="E120" s="70"/>
      <c r="F120" s="70"/>
      <c r="G120" s="71"/>
      <c r="H120" s="70"/>
      <c r="I120" s="72"/>
      <c r="K120" s="70">
        <f>'MVMTS SORTIES &amp; FABRICATIONS'!F120</f>
        <v>0</v>
      </c>
      <c r="L120" s="70">
        <f>'MVMTS SORTIES &amp; FABRICATIONS'!E120</f>
        <v>0</v>
      </c>
    </row>
    <row r="121" spans="1:12" x14ac:dyDescent="0.2">
      <c r="A121" s="50" t="str">
        <f>IF(ISBLANK(RECAPITULATIF!A130),"",RECAPITULATIF!A130)</f>
        <v/>
      </c>
      <c r="B121" s="50" t="str">
        <f>IF(ISBLANK(RECAPITULATIF!B130),"",RECAPITULATIF!B130)</f>
        <v/>
      </c>
      <c r="C121" s="50" t="str">
        <f>IF(ISBLANK(RECAPITULATIF!C130),"",RECAPITULATIF!C130)</f>
        <v/>
      </c>
      <c r="D121" s="69"/>
      <c r="E121" s="70"/>
      <c r="F121" s="70"/>
      <c r="G121" s="71"/>
      <c r="H121" s="70"/>
      <c r="I121" s="72"/>
      <c r="K121" s="70">
        <f>'MVMTS SORTIES &amp; FABRICATIONS'!F121</f>
        <v>0</v>
      </c>
      <c r="L121" s="70">
        <f>'MVMTS SORTIES &amp; FABRICATIONS'!E121</f>
        <v>0</v>
      </c>
    </row>
    <row r="122" spans="1:12" x14ac:dyDescent="0.2">
      <c r="A122" s="50" t="str">
        <f>IF(ISBLANK(RECAPITULATIF!A131),"",RECAPITULATIF!A131)</f>
        <v/>
      </c>
      <c r="B122" s="50" t="str">
        <f>IF(ISBLANK(RECAPITULATIF!B131),"",RECAPITULATIF!B131)</f>
        <v/>
      </c>
      <c r="C122" s="50" t="str">
        <f>IF(ISBLANK(RECAPITULATIF!C131),"",RECAPITULATIF!C131)</f>
        <v/>
      </c>
      <c r="D122" s="69"/>
      <c r="E122" s="70"/>
      <c r="F122" s="70"/>
      <c r="G122" s="71"/>
      <c r="H122" s="70"/>
      <c r="I122" s="72"/>
      <c r="K122" s="70">
        <f>'MVMTS SORTIES &amp; FABRICATIONS'!F122</f>
        <v>0</v>
      </c>
      <c r="L122" s="70">
        <f>'MVMTS SORTIES &amp; FABRICATIONS'!E122</f>
        <v>0</v>
      </c>
    </row>
    <row r="123" spans="1:12" x14ac:dyDescent="0.2">
      <c r="A123" s="50" t="str">
        <f>IF(ISBLANK(RECAPITULATIF!A132),"",RECAPITULATIF!A132)</f>
        <v/>
      </c>
      <c r="B123" s="50" t="str">
        <f>IF(ISBLANK(RECAPITULATIF!B132),"",RECAPITULATIF!B132)</f>
        <v/>
      </c>
      <c r="C123" s="50" t="str">
        <f>IF(ISBLANK(RECAPITULATIF!C132),"",RECAPITULATIF!C132)</f>
        <v/>
      </c>
      <c r="D123" s="69"/>
      <c r="E123" s="70"/>
      <c r="F123" s="70"/>
      <c r="G123" s="71"/>
      <c r="H123" s="70"/>
      <c r="I123" s="72"/>
      <c r="K123" s="70">
        <f>'MVMTS SORTIES &amp; FABRICATIONS'!F123</f>
        <v>0</v>
      </c>
      <c r="L123" s="70">
        <f>'MVMTS SORTIES &amp; FABRICATIONS'!E123</f>
        <v>0</v>
      </c>
    </row>
    <row r="124" spans="1:12" x14ac:dyDescent="0.2">
      <c r="A124" s="50" t="str">
        <f>IF(ISBLANK(RECAPITULATIF!A133),"",RECAPITULATIF!A133)</f>
        <v/>
      </c>
      <c r="B124" s="50" t="str">
        <f>IF(ISBLANK(RECAPITULATIF!B133),"",RECAPITULATIF!B133)</f>
        <v/>
      </c>
      <c r="C124" s="50" t="str">
        <f>IF(ISBLANK(RECAPITULATIF!C133),"",RECAPITULATIF!C133)</f>
        <v/>
      </c>
      <c r="D124" s="69"/>
      <c r="E124" s="70"/>
      <c r="F124" s="70"/>
      <c r="G124" s="71"/>
      <c r="H124" s="70"/>
      <c r="I124" s="72"/>
      <c r="K124" s="70">
        <f>'MVMTS SORTIES &amp; FABRICATIONS'!F124</f>
        <v>0</v>
      </c>
      <c r="L124" s="70">
        <f>'MVMTS SORTIES &amp; FABRICATIONS'!E124</f>
        <v>0</v>
      </c>
    </row>
    <row r="125" spans="1:12" x14ac:dyDescent="0.2">
      <c r="A125" s="50" t="str">
        <f>IF(ISBLANK(RECAPITULATIF!A134),"",RECAPITULATIF!A134)</f>
        <v/>
      </c>
      <c r="B125" s="50" t="str">
        <f>IF(ISBLANK(RECAPITULATIF!B134),"",RECAPITULATIF!B134)</f>
        <v/>
      </c>
      <c r="C125" s="50" t="str">
        <f>IF(ISBLANK(RECAPITULATIF!C134),"",RECAPITULATIF!C134)</f>
        <v/>
      </c>
      <c r="D125" s="69"/>
      <c r="E125" s="70"/>
      <c r="F125" s="70"/>
      <c r="G125" s="71"/>
      <c r="H125" s="70"/>
      <c r="I125" s="72"/>
      <c r="K125" s="70">
        <f>'MVMTS SORTIES &amp; FABRICATIONS'!F125</f>
        <v>0</v>
      </c>
      <c r="L125" s="70">
        <f>'MVMTS SORTIES &amp; FABRICATIONS'!E125</f>
        <v>0</v>
      </c>
    </row>
    <row r="126" spans="1:12" x14ac:dyDescent="0.2">
      <c r="A126" s="50" t="str">
        <f>IF(ISBLANK(RECAPITULATIF!A135),"",RECAPITULATIF!A135)</f>
        <v/>
      </c>
      <c r="B126" s="50" t="str">
        <f>IF(ISBLANK(RECAPITULATIF!B135),"",RECAPITULATIF!B135)</f>
        <v/>
      </c>
      <c r="C126" s="50" t="str">
        <f>IF(ISBLANK(RECAPITULATIF!C135),"",RECAPITULATIF!C135)</f>
        <v/>
      </c>
      <c r="D126" s="69"/>
      <c r="E126" s="70"/>
      <c r="F126" s="70"/>
      <c r="G126" s="71"/>
      <c r="H126" s="70"/>
      <c r="I126" s="72"/>
      <c r="K126" s="70">
        <f>'MVMTS SORTIES &amp; FABRICATIONS'!F126</f>
        <v>0</v>
      </c>
      <c r="L126" s="70">
        <f>'MVMTS SORTIES &amp; FABRICATIONS'!E126</f>
        <v>0</v>
      </c>
    </row>
    <row r="127" spans="1:12" x14ac:dyDescent="0.2">
      <c r="A127" s="50" t="str">
        <f>IF(ISBLANK(RECAPITULATIF!A136),"",RECAPITULATIF!A136)</f>
        <v/>
      </c>
      <c r="B127" s="50" t="str">
        <f>IF(ISBLANK(RECAPITULATIF!B136),"",RECAPITULATIF!B136)</f>
        <v/>
      </c>
      <c r="C127" s="50" t="str">
        <f>IF(ISBLANK(RECAPITULATIF!C136),"",RECAPITULATIF!C136)</f>
        <v/>
      </c>
      <c r="D127" s="69"/>
      <c r="E127" s="70"/>
      <c r="F127" s="70"/>
      <c r="G127" s="71"/>
      <c r="H127" s="70"/>
      <c r="I127" s="72"/>
      <c r="K127" s="70">
        <f>'MVMTS SORTIES &amp; FABRICATIONS'!F127</f>
        <v>0</v>
      </c>
      <c r="L127" s="70">
        <f>'MVMTS SORTIES &amp; FABRICATIONS'!E127</f>
        <v>0</v>
      </c>
    </row>
    <row r="128" spans="1:12" x14ac:dyDescent="0.2">
      <c r="A128" s="50" t="str">
        <f>IF(ISBLANK(RECAPITULATIF!A137),"",RECAPITULATIF!A137)</f>
        <v/>
      </c>
      <c r="B128" s="50" t="str">
        <f>IF(ISBLANK(RECAPITULATIF!B137),"",RECAPITULATIF!B137)</f>
        <v/>
      </c>
      <c r="C128" s="50" t="str">
        <f>IF(ISBLANK(RECAPITULATIF!C137),"",RECAPITULATIF!C137)</f>
        <v/>
      </c>
      <c r="D128" s="69"/>
      <c r="E128" s="70"/>
      <c r="F128" s="70"/>
      <c r="G128" s="71"/>
      <c r="H128" s="70"/>
      <c r="I128" s="72"/>
      <c r="K128" s="70">
        <f>'MVMTS SORTIES &amp; FABRICATIONS'!F128</f>
        <v>0</v>
      </c>
      <c r="L128" s="70">
        <f>'MVMTS SORTIES &amp; FABRICATIONS'!E128</f>
        <v>0</v>
      </c>
    </row>
    <row r="129" spans="1:12" x14ac:dyDescent="0.2">
      <c r="A129" s="50" t="str">
        <f>IF(ISBLANK(RECAPITULATIF!A138),"",RECAPITULATIF!A138)</f>
        <v/>
      </c>
      <c r="B129" s="50" t="str">
        <f>IF(ISBLANK(RECAPITULATIF!B138),"",RECAPITULATIF!B138)</f>
        <v/>
      </c>
      <c r="C129" s="50" t="str">
        <f>IF(ISBLANK(RECAPITULATIF!C138),"",RECAPITULATIF!C138)</f>
        <v/>
      </c>
      <c r="D129" s="69"/>
      <c r="E129" s="70"/>
      <c r="F129" s="70"/>
      <c r="G129" s="71"/>
      <c r="H129" s="70"/>
      <c r="I129" s="72"/>
      <c r="K129" s="70">
        <f>'MVMTS SORTIES &amp; FABRICATIONS'!F129</f>
        <v>0</v>
      </c>
      <c r="L129" s="70">
        <f>'MVMTS SORTIES &amp; FABRICATIONS'!E129</f>
        <v>0</v>
      </c>
    </row>
    <row r="130" spans="1:12" x14ac:dyDescent="0.2">
      <c r="A130" s="50" t="str">
        <f>IF(ISBLANK(RECAPITULATIF!A139),"",RECAPITULATIF!A139)</f>
        <v/>
      </c>
      <c r="B130" s="50" t="str">
        <f>IF(ISBLANK(RECAPITULATIF!B139),"",RECAPITULATIF!B139)</f>
        <v/>
      </c>
      <c r="C130" s="50" t="str">
        <f>IF(ISBLANK(RECAPITULATIF!C139),"",RECAPITULATIF!C139)</f>
        <v/>
      </c>
      <c r="D130" s="69"/>
      <c r="E130" s="70"/>
      <c r="F130" s="70"/>
      <c r="G130" s="71"/>
      <c r="H130" s="70"/>
      <c r="I130" s="72"/>
      <c r="K130" s="70">
        <f>'MVMTS SORTIES &amp; FABRICATIONS'!F130</f>
        <v>0</v>
      </c>
      <c r="L130" s="70">
        <f>'MVMTS SORTIES &amp; FABRICATIONS'!E130</f>
        <v>0</v>
      </c>
    </row>
    <row r="131" spans="1:12" x14ac:dyDescent="0.2">
      <c r="A131" s="50" t="str">
        <f>IF(ISBLANK(RECAPITULATIF!A140),"",RECAPITULATIF!A140)</f>
        <v/>
      </c>
      <c r="B131" s="50" t="str">
        <f>IF(ISBLANK(RECAPITULATIF!B140),"",RECAPITULATIF!B140)</f>
        <v/>
      </c>
      <c r="C131" s="50" t="str">
        <f>IF(ISBLANK(RECAPITULATIF!C140),"",RECAPITULATIF!C140)</f>
        <v/>
      </c>
      <c r="D131" s="69"/>
      <c r="E131" s="70"/>
      <c r="F131" s="70"/>
      <c r="G131" s="71"/>
      <c r="H131" s="70"/>
      <c r="I131" s="72"/>
      <c r="K131" s="70">
        <f>'MVMTS SORTIES &amp; FABRICATIONS'!F131</f>
        <v>0</v>
      </c>
      <c r="L131" s="70">
        <f>'MVMTS SORTIES &amp; FABRICATIONS'!E131</f>
        <v>0</v>
      </c>
    </row>
    <row r="132" spans="1:12" x14ac:dyDescent="0.2">
      <c r="A132" s="50" t="str">
        <f>IF(ISBLANK(RECAPITULATIF!A141),"",RECAPITULATIF!A141)</f>
        <v/>
      </c>
      <c r="B132" s="50" t="str">
        <f>IF(ISBLANK(RECAPITULATIF!B141),"",RECAPITULATIF!B141)</f>
        <v/>
      </c>
      <c r="C132" s="50" t="str">
        <f>IF(ISBLANK(RECAPITULATIF!C141),"",RECAPITULATIF!C141)</f>
        <v/>
      </c>
      <c r="D132" s="69"/>
      <c r="E132" s="70"/>
      <c r="F132" s="70"/>
      <c r="G132" s="71"/>
      <c r="H132" s="70"/>
      <c r="I132" s="72"/>
      <c r="K132" s="70">
        <f>'MVMTS SORTIES &amp; FABRICATIONS'!F132</f>
        <v>0</v>
      </c>
      <c r="L132" s="70">
        <f>'MVMTS SORTIES &amp; FABRICATIONS'!E132</f>
        <v>0</v>
      </c>
    </row>
    <row r="133" spans="1:12" x14ac:dyDescent="0.2">
      <c r="A133" s="50" t="str">
        <f>IF(ISBLANK(RECAPITULATIF!A142),"",RECAPITULATIF!A142)</f>
        <v/>
      </c>
      <c r="B133" s="50" t="str">
        <f>IF(ISBLANK(RECAPITULATIF!B142),"",RECAPITULATIF!B142)</f>
        <v/>
      </c>
      <c r="C133" s="50" t="str">
        <f>IF(ISBLANK(RECAPITULATIF!C142),"",RECAPITULATIF!C142)</f>
        <v/>
      </c>
      <c r="D133" s="69"/>
      <c r="E133" s="70"/>
      <c r="F133" s="70"/>
      <c r="G133" s="71"/>
      <c r="H133" s="70"/>
      <c r="I133" s="72"/>
      <c r="K133" s="70">
        <f>'MVMTS SORTIES &amp; FABRICATIONS'!F133</f>
        <v>0</v>
      </c>
      <c r="L133" s="70">
        <f>'MVMTS SORTIES &amp; FABRICATIONS'!E133</f>
        <v>0</v>
      </c>
    </row>
    <row r="134" spans="1:12" x14ac:dyDescent="0.2">
      <c r="A134" s="50" t="str">
        <f>IF(ISBLANK(RECAPITULATIF!A143),"",RECAPITULATIF!A143)</f>
        <v/>
      </c>
      <c r="B134" s="50" t="str">
        <f>IF(ISBLANK(RECAPITULATIF!B143),"",RECAPITULATIF!B143)</f>
        <v/>
      </c>
      <c r="C134" s="50" t="str">
        <f>IF(ISBLANK(RECAPITULATIF!C143),"",RECAPITULATIF!C143)</f>
        <v/>
      </c>
      <c r="D134" s="69"/>
      <c r="E134" s="70"/>
      <c r="F134" s="70"/>
      <c r="G134" s="71"/>
      <c r="H134" s="70"/>
      <c r="I134" s="72"/>
      <c r="K134" s="70">
        <f>'MVMTS SORTIES &amp; FABRICATIONS'!F134</f>
        <v>0</v>
      </c>
      <c r="L134" s="70">
        <f>'MVMTS SORTIES &amp; FABRICATIONS'!E134</f>
        <v>0</v>
      </c>
    </row>
    <row r="135" spans="1:12" x14ac:dyDescent="0.2">
      <c r="A135" s="50" t="str">
        <f>IF(ISBLANK(RECAPITULATIF!A144),"",RECAPITULATIF!A144)</f>
        <v/>
      </c>
      <c r="B135" s="50" t="str">
        <f>IF(ISBLANK(RECAPITULATIF!B144),"",RECAPITULATIF!B144)</f>
        <v/>
      </c>
      <c r="C135" s="50" t="str">
        <f>IF(ISBLANK(RECAPITULATIF!C144),"",RECAPITULATIF!C144)</f>
        <v/>
      </c>
      <c r="D135" s="69"/>
      <c r="E135" s="70"/>
      <c r="F135" s="70"/>
      <c r="G135" s="71"/>
      <c r="H135" s="70"/>
      <c r="I135" s="72"/>
      <c r="K135" s="70">
        <f>'MVMTS SORTIES &amp; FABRICATIONS'!F135</f>
        <v>0</v>
      </c>
      <c r="L135" s="70">
        <f>'MVMTS SORTIES &amp; FABRICATIONS'!E135</f>
        <v>0</v>
      </c>
    </row>
    <row r="136" spans="1:12" x14ac:dyDescent="0.2">
      <c r="A136" s="50" t="str">
        <f>IF(ISBLANK(RECAPITULATIF!A145),"",RECAPITULATIF!A145)</f>
        <v/>
      </c>
      <c r="B136" s="50" t="str">
        <f>IF(ISBLANK(RECAPITULATIF!B145),"",RECAPITULATIF!B145)</f>
        <v/>
      </c>
      <c r="C136" s="50" t="str">
        <f>IF(ISBLANK(RECAPITULATIF!C145),"",RECAPITULATIF!C145)</f>
        <v/>
      </c>
      <c r="D136" s="69"/>
      <c r="E136" s="70"/>
      <c r="F136" s="70"/>
      <c r="G136" s="71"/>
      <c r="H136" s="70"/>
      <c r="I136" s="72"/>
      <c r="K136" s="70">
        <f>'MVMTS SORTIES &amp; FABRICATIONS'!F136</f>
        <v>0</v>
      </c>
      <c r="L136" s="70">
        <f>'MVMTS SORTIES &amp; FABRICATIONS'!E136</f>
        <v>0</v>
      </c>
    </row>
    <row r="137" spans="1:12" x14ac:dyDescent="0.2">
      <c r="A137" s="50" t="str">
        <f>IF(ISBLANK(RECAPITULATIF!A146),"",RECAPITULATIF!A146)</f>
        <v/>
      </c>
      <c r="B137" s="50" t="str">
        <f>IF(ISBLANK(RECAPITULATIF!B146),"",RECAPITULATIF!B146)</f>
        <v/>
      </c>
      <c r="C137" s="50" t="str">
        <f>IF(ISBLANK(RECAPITULATIF!C146),"",RECAPITULATIF!C146)</f>
        <v/>
      </c>
      <c r="D137" s="69"/>
      <c r="E137" s="70"/>
      <c r="F137" s="70"/>
      <c r="G137" s="71"/>
      <c r="H137" s="70"/>
      <c r="I137" s="72"/>
      <c r="K137" s="70">
        <f>'MVMTS SORTIES &amp; FABRICATIONS'!F137</f>
        <v>0</v>
      </c>
      <c r="L137" s="70">
        <f>'MVMTS SORTIES &amp; FABRICATIONS'!E137</f>
        <v>0</v>
      </c>
    </row>
    <row r="138" spans="1:12" x14ac:dyDescent="0.2">
      <c r="A138" s="50" t="str">
        <f>IF(ISBLANK(RECAPITULATIF!A147),"",RECAPITULATIF!A147)</f>
        <v/>
      </c>
      <c r="B138" s="50" t="str">
        <f>IF(ISBLANK(RECAPITULATIF!B147),"",RECAPITULATIF!B147)</f>
        <v/>
      </c>
      <c r="C138" s="50" t="str">
        <f>IF(ISBLANK(RECAPITULATIF!C147),"",RECAPITULATIF!C147)</f>
        <v/>
      </c>
      <c r="D138" s="69"/>
      <c r="E138" s="70"/>
      <c r="F138" s="70"/>
      <c r="G138" s="71"/>
      <c r="H138" s="70"/>
      <c r="I138" s="72"/>
      <c r="K138" s="70">
        <f>'MVMTS SORTIES &amp; FABRICATIONS'!F138</f>
        <v>0</v>
      </c>
      <c r="L138" s="70">
        <f>'MVMTS SORTIES &amp; FABRICATIONS'!E138</f>
        <v>0</v>
      </c>
    </row>
    <row r="139" spans="1:12" x14ac:dyDescent="0.2">
      <c r="A139" s="50" t="str">
        <f>IF(ISBLANK(RECAPITULATIF!A148),"",RECAPITULATIF!A148)</f>
        <v/>
      </c>
      <c r="B139" s="50" t="str">
        <f>IF(ISBLANK(RECAPITULATIF!B148),"",RECAPITULATIF!B148)</f>
        <v/>
      </c>
      <c r="C139" s="50" t="str">
        <f>IF(ISBLANK(RECAPITULATIF!C148),"",RECAPITULATIF!C148)</f>
        <v/>
      </c>
      <c r="D139" s="69"/>
      <c r="E139" s="70"/>
      <c r="F139" s="70"/>
      <c r="G139" s="71"/>
      <c r="H139" s="70"/>
      <c r="I139" s="72"/>
      <c r="K139" s="70">
        <f>'MVMTS SORTIES &amp; FABRICATIONS'!F139</f>
        <v>0</v>
      </c>
      <c r="L139" s="70">
        <f>'MVMTS SORTIES &amp; FABRICATIONS'!E139</f>
        <v>0</v>
      </c>
    </row>
    <row r="140" spans="1:12" x14ac:dyDescent="0.2">
      <c r="A140" s="50" t="str">
        <f>IF(ISBLANK(RECAPITULATIF!A149),"",RECAPITULATIF!A149)</f>
        <v/>
      </c>
      <c r="B140" s="50" t="str">
        <f>IF(ISBLANK(RECAPITULATIF!B149),"",RECAPITULATIF!B149)</f>
        <v/>
      </c>
      <c r="C140" s="50" t="str">
        <f>IF(ISBLANK(RECAPITULATIF!C149),"",RECAPITULATIF!C149)</f>
        <v/>
      </c>
      <c r="D140" s="69"/>
      <c r="E140" s="70"/>
      <c r="F140" s="70"/>
      <c r="G140" s="71"/>
      <c r="H140" s="70"/>
      <c r="I140" s="72"/>
      <c r="K140" s="70">
        <f>'MVMTS SORTIES &amp; FABRICATIONS'!F140</f>
        <v>0</v>
      </c>
      <c r="L140" s="70">
        <f>'MVMTS SORTIES &amp; FABRICATIONS'!E140</f>
        <v>0</v>
      </c>
    </row>
    <row r="141" spans="1:12" x14ac:dyDescent="0.2">
      <c r="A141" s="50" t="str">
        <f>IF(ISBLANK(RECAPITULATIF!A150),"",RECAPITULATIF!A150)</f>
        <v/>
      </c>
      <c r="B141" s="50" t="str">
        <f>IF(ISBLANK(RECAPITULATIF!B150),"",RECAPITULATIF!B150)</f>
        <v/>
      </c>
      <c r="C141" s="50" t="str">
        <f>IF(ISBLANK(RECAPITULATIF!C150),"",RECAPITULATIF!C150)</f>
        <v/>
      </c>
      <c r="D141" s="69"/>
      <c r="E141" s="70"/>
      <c r="F141" s="70"/>
      <c r="G141" s="71"/>
      <c r="H141" s="70"/>
      <c r="I141" s="72"/>
      <c r="K141" s="70">
        <f>'MVMTS SORTIES &amp; FABRICATIONS'!F141</f>
        <v>0</v>
      </c>
      <c r="L141" s="70">
        <f>'MVMTS SORTIES &amp; FABRICATIONS'!E141</f>
        <v>0</v>
      </c>
    </row>
    <row r="142" spans="1:12" x14ac:dyDescent="0.2">
      <c r="A142" s="50" t="str">
        <f>IF(ISBLANK(RECAPITULATIF!A151),"",RECAPITULATIF!A151)</f>
        <v/>
      </c>
      <c r="B142" s="50" t="str">
        <f>IF(ISBLANK(RECAPITULATIF!B151),"",RECAPITULATIF!B151)</f>
        <v/>
      </c>
      <c r="C142" s="50" t="str">
        <f>IF(ISBLANK(RECAPITULATIF!C151),"",RECAPITULATIF!C151)</f>
        <v/>
      </c>
      <c r="D142" s="69"/>
      <c r="E142" s="70"/>
      <c r="F142" s="70"/>
      <c r="G142" s="71"/>
      <c r="H142" s="70"/>
      <c r="I142" s="72"/>
      <c r="K142" s="70">
        <f>'MVMTS SORTIES &amp; FABRICATIONS'!F142</f>
        <v>0</v>
      </c>
      <c r="L142" s="70">
        <f>'MVMTS SORTIES &amp; FABRICATIONS'!E142</f>
        <v>0</v>
      </c>
    </row>
    <row r="143" spans="1:12" x14ac:dyDescent="0.2">
      <c r="A143" s="50" t="str">
        <f>IF(ISBLANK(RECAPITULATIF!A152),"",RECAPITULATIF!A152)</f>
        <v/>
      </c>
      <c r="B143" s="50" t="str">
        <f>IF(ISBLANK(RECAPITULATIF!B152),"",RECAPITULATIF!B152)</f>
        <v/>
      </c>
      <c r="C143" s="50" t="str">
        <f>IF(ISBLANK(RECAPITULATIF!C152),"",RECAPITULATIF!C152)</f>
        <v/>
      </c>
      <c r="D143" s="69"/>
      <c r="E143" s="70"/>
      <c r="F143" s="70"/>
      <c r="G143" s="71"/>
      <c r="H143" s="70"/>
      <c r="I143" s="72"/>
      <c r="K143" s="70">
        <f>'MVMTS SORTIES &amp; FABRICATIONS'!F143</f>
        <v>0</v>
      </c>
      <c r="L143" s="70">
        <f>'MVMTS SORTIES &amp; FABRICATIONS'!E143</f>
        <v>0</v>
      </c>
    </row>
    <row r="144" spans="1:12" x14ac:dyDescent="0.2">
      <c r="A144" s="50" t="str">
        <f>IF(ISBLANK(RECAPITULATIF!A153),"",RECAPITULATIF!A153)</f>
        <v/>
      </c>
      <c r="B144" s="50" t="str">
        <f>IF(ISBLANK(RECAPITULATIF!B153),"",RECAPITULATIF!B153)</f>
        <v/>
      </c>
      <c r="C144" s="50" t="str">
        <f>IF(ISBLANK(RECAPITULATIF!C153),"",RECAPITULATIF!C153)</f>
        <v/>
      </c>
      <c r="D144" s="69"/>
      <c r="E144" s="70"/>
      <c r="F144" s="70"/>
      <c r="G144" s="71"/>
      <c r="H144" s="70"/>
      <c r="I144" s="72"/>
      <c r="K144" s="70">
        <f>'MVMTS SORTIES &amp; FABRICATIONS'!F144</f>
        <v>0</v>
      </c>
      <c r="L144" s="70">
        <f>'MVMTS SORTIES &amp; FABRICATIONS'!E144</f>
        <v>0</v>
      </c>
    </row>
    <row r="145" spans="1:12" x14ac:dyDescent="0.2">
      <c r="A145" s="50" t="str">
        <f>IF(ISBLANK(RECAPITULATIF!A154),"",RECAPITULATIF!A154)</f>
        <v/>
      </c>
      <c r="B145" s="50" t="str">
        <f>IF(ISBLANK(RECAPITULATIF!B154),"",RECAPITULATIF!B154)</f>
        <v/>
      </c>
      <c r="C145" s="50" t="str">
        <f>IF(ISBLANK(RECAPITULATIF!C154),"",RECAPITULATIF!C154)</f>
        <v/>
      </c>
      <c r="D145" s="69"/>
      <c r="E145" s="70"/>
      <c r="F145" s="70"/>
      <c r="G145" s="71"/>
      <c r="H145" s="70"/>
      <c r="I145" s="72"/>
      <c r="K145" s="70">
        <f>'MVMTS SORTIES &amp; FABRICATIONS'!F145</f>
        <v>0</v>
      </c>
      <c r="L145" s="70">
        <f>'MVMTS SORTIES &amp; FABRICATIONS'!E145</f>
        <v>0</v>
      </c>
    </row>
    <row r="146" spans="1:12" x14ac:dyDescent="0.2">
      <c r="A146" s="50" t="str">
        <f>IF(ISBLANK(RECAPITULATIF!A155),"",RECAPITULATIF!A155)</f>
        <v/>
      </c>
      <c r="B146" s="50" t="str">
        <f>IF(ISBLANK(RECAPITULATIF!B155),"",RECAPITULATIF!B155)</f>
        <v/>
      </c>
      <c r="C146" s="50" t="str">
        <f>IF(ISBLANK(RECAPITULATIF!C155),"",RECAPITULATIF!C155)</f>
        <v/>
      </c>
      <c r="D146" s="69"/>
      <c r="E146" s="70"/>
      <c r="F146" s="70"/>
      <c r="G146" s="71"/>
      <c r="H146" s="70"/>
      <c r="I146" s="72"/>
      <c r="K146" s="70">
        <f>'MVMTS SORTIES &amp; FABRICATIONS'!F146</f>
        <v>0</v>
      </c>
      <c r="L146" s="70">
        <f>'MVMTS SORTIES &amp; FABRICATIONS'!E146</f>
        <v>0</v>
      </c>
    </row>
    <row r="147" spans="1:12" x14ac:dyDescent="0.2">
      <c r="A147" s="50" t="str">
        <f>IF(ISBLANK(RECAPITULATIF!A156),"",RECAPITULATIF!A156)</f>
        <v/>
      </c>
      <c r="B147" s="50" t="str">
        <f>IF(ISBLANK(RECAPITULATIF!B156),"",RECAPITULATIF!B156)</f>
        <v/>
      </c>
      <c r="C147" s="50" t="str">
        <f>IF(ISBLANK(RECAPITULATIF!C156),"",RECAPITULATIF!C156)</f>
        <v/>
      </c>
      <c r="D147" s="69"/>
      <c r="E147" s="70"/>
      <c r="F147" s="70"/>
      <c r="G147" s="71"/>
      <c r="H147" s="70"/>
      <c r="I147" s="72"/>
      <c r="K147" s="70">
        <f>'MVMTS SORTIES &amp; FABRICATIONS'!F147</f>
        <v>0</v>
      </c>
      <c r="L147" s="70">
        <f>'MVMTS SORTIES &amp; FABRICATIONS'!E147</f>
        <v>0</v>
      </c>
    </row>
    <row r="148" spans="1:12" x14ac:dyDescent="0.2">
      <c r="A148" s="50" t="str">
        <f>IF(ISBLANK(RECAPITULATIF!A157),"",RECAPITULATIF!A157)</f>
        <v/>
      </c>
      <c r="B148" s="50" t="str">
        <f>IF(ISBLANK(RECAPITULATIF!B157),"",RECAPITULATIF!B157)</f>
        <v/>
      </c>
      <c r="C148" s="50" t="str">
        <f>IF(ISBLANK(RECAPITULATIF!C157),"",RECAPITULATIF!C157)</f>
        <v/>
      </c>
      <c r="D148" s="69"/>
      <c r="E148" s="70"/>
      <c r="F148" s="70"/>
      <c r="G148" s="71"/>
      <c r="H148" s="70"/>
      <c r="I148" s="72"/>
      <c r="K148" s="70">
        <f>'MVMTS SORTIES &amp; FABRICATIONS'!F148</f>
        <v>0</v>
      </c>
      <c r="L148" s="70">
        <f>'MVMTS SORTIES &amp; FABRICATIONS'!E148</f>
        <v>0</v>
      </c>
    </row>
    <row r="149" spans="1:12" x14ac:dyDescent="0.2">
      <c r="A149" s="50" t="str">
        <f>IF(ISBLANK(RECAPITULATIF!A158),"",RECAPITULATIF!A158)</f>
        <v/>
      </c>
      <c r="B149" s="50" t="str">
        <f>IF(ISBLANK(RECAPITULATIF!B158),"",RECAPITULATIF!B158)</f>
        <v/>
      </c>
      <c r="C149" s="50" t="str">
        <f>IF(ISBLANK(RECAPITULATIF!C158),"",RECAPITULATIF!C158)</f>
        <v/>
      </c>
      <c r="D149" s="69"/>
      <c r="E149" s="70"/>
      <c r="F149" s="70"/>
      <c r="G149" s="71"/>
      <c r="H149" s="70"/>
      <c r="I149" s="72"/>
      <c r="K149" s="70">
        <f>'MVMTS SORTIES &amp; FABRICATIONS'!F149</f>
        <v>0</v>
      </c>
      <c r="L149" s="70">
        <f>'MVMTS SORTIES &amp; FABRICATIONS'!E149</f>
        <v>0</v>
      </c>
    </row>
    <row r="150" spans="1:12" x14ac:dyDescent="0.2">
      <c r="A150" s="50" t="str">
        <f>IF(ISBLANK(RECAPITULATIF!A159),"",RECAPITULATIF!A159)</f>
        <v/>
      </c>
      <c r="B150" s="50" t="str">
        <f>IF(ISBLANK(RECAPITULATIF!B159),"",RECAPITULATIF!B159)</f>
        <v/>
      </c>
      <c r="C150" s="50" t="str">
        <f>IF(ISBLANK(RECAPITULATIF!C159),"",RECAPITULATIF!C159)</f>
        <v/>
      </c>
      <c r="D150" s="69"/>
      <c r="E150" s="70"/>
      <c r="F150" s="70"/>
      <c r="G150" s="71"/>
      <c r="H150" s="70"/>
      <c r="I150" s="72"/>
      <c r="K150" s="70">
        <f>'MVMTS SORTIES &amp; FABRICATIONS'!F150</f>
        <v>0</v>
      </c>
      <c r="L150" s="70">
        <f>'MVMTS SORTIES &amp; FABRICATIONS'!E150</f>
        <v>0</v>
      </c>
    </row>
    <row r="151" spans="1:12" x14ac:dyDescent="0.2">
      <c r="A151" s="50" t="str">
        <f>IF(ISBLANK(RECAPITULATIF!A160),"",RECAPITULATIF!A160)</f>
        <v/>
      </c>
      <c r="B151" s="50" t="str">
        <f>IF(ISBLANK(RECAPITULATIF!B160),"",RECAPITULATIF!B160)</f>
        <v/>
      </c>
      <c r="C151" s="50" t="str">
        <f>IF(ISBLANK(RECAPITULATIF!C160),"",RECAPITULATIF!C160)</f>
        <v/>
      </c>
      <c r="D151" s="69"/>
      <c r="E151" s="70"/>
      <c r="F151" s="70"/>
      <c r="G151" s="71"/>
      <c r="H151" s="70"/>
      <c r="I151" s="72"/>
      <c r="K151" s="70">
        <f>'MVMTS SORTIES &amp; FABRICATIONS'!F151</f>
        <v>0</v>
      </c>
      <c r="L151" s="70">
        <f>'MVMTS SORTIES &amp; FABRICATIONS'!E151</f>
        <v>0</v>
      </c>
    </row>
    <row r="152" spans="1:12" x14ac:dyDescent="0.2">
      <c r="A152" s="50" t="str">
        <f>IF(ISBLANK(RECAPITULATIF!A161),"",RECAPITULATIF!A161)</f>
        <v/>
      </c>
      <c r="B152" s="50" t="str">
        <f>IF(ISBLANK(RECAPITULATIF!B161),"",RECAPITULATIF!B161)</f>
        <v/>
      </c>
      <c r="C152" s="50" t="str">
        <f>IF(ISBLANK(RECAPITULATIF!C161),"",RECAPITULATIF!C161)</f>
        <v/>
      </c>
      <c r="D152" s="69"/>
      <c r="E152" s="70"/>
      <c r="F152" s="70"/>
      <c r="G152" s="71"/>
      <c r="H152" s="70"/>
      <c r="I152" s="72"/>
      <c r="K152" s="70">
        <f>'MVMTS SORTIES &amp; FABRICATIONS'!F152</f>
        <v>0</v>
      </c>
      <c r="L152" s="70">
        <f>'MVMTS SORTIES &amp; FABRICATIONS'!E152</f>
        <v>0</v>
      </c>
    </row>
    <row r="153" spans="1:12" x14ac:dyDescent="0.2">
      <c r="A153" s="50" t="str">
        <f>IF(ISBLANK(RECAPITULATIF!A162),"",RECAPITULATIF!A162)</f>
        <v/>
      </c>
      <c r="B153" s="50" t="str">
        <f>IF(ISBLANK(RECAPITULATIF!B162),"",RECAPITULATIF!B162)</f>
        <v/>
      </c>
      <c r="C153" s="50" t="str">
        <f>IF(ISBLANK(RECAPITULATIF!C162),"",RECAPITULATIF!C162)</f>
        <v/>
      </c>
      <c r="D153" s="69"/>
      <c r="E153" s="70"/>
      <c r="F153" s="70"/>
      <c r="G153" s="71"/>
      <c r="H153" s="70"/>
      <c r="I153" s="72"/>
      <c r="K153" s="70">
        <f>'MVMTS SORTIES &amp; FABRICATIONS'!F153</f>
        <v>0</v>
      </c>
      <c r="L153" s="70">
        <f>'MVMTS SORTIES &amp; FABRICATIONS'!E153</f>
        <v>0</v>
      </c>
    </row>
    <row r="154" spans="1:12" x14ac:dyDescent="0.2">
      <c r="A154" s="50" t="str">
        <f>IF(ISBLANK(RECAPITULATIF!A163),"",RECAPITULATIF!A163)</f>
        <v/>
      </c>
      <c r="B154" s="50" t="str">
        <f>IF(ISBLANK(RECAPITULATIF!B163),"",RECAPITULATIF!B163)</f>
        <v/>
      </c>
      <c r="C154" s="50" t="str">
        <f>IF(ISBLANK(RECAPITULATIF!C163),"",RECAPITULATIF!C163)</f>
        <v/>
      </c>
      <c r="D154" s="69"/>
      <c r="E154" s="70"/>
      <c r="F154" s="70"/>
      <c r="G154" s="71"/>
      <c r="H154" s="70"/>
      <c r="I154" s="72"/>
      <c r="K154" s="70">
        <f>'MVMTS SORTIES &amp; FABRICATIONS'!F154</f>
        <v>0</v>
      </c>
      <c r="L154" s="70">
        <f>'MVMTS SORTIES &amp; FABRICATIONS'!E154</f>
        <v>0</v>
      </c>
    </row>
    <row r="155" spans="1:12" x14ac:dyDescent="0.2">
      <c r="A155" s="50" t="str">
        <f>IF(ISBLANK(RECAPITULATIF!A164),"",RECAPITULATIF!A164)</f>
        <v/>
      </c>
      <c r="B155" s="50" t="str">
        <f>IF(ISBLANK(RECAPITULATIF!B164),"",RECAPITULATIF!B164)</f>
        <v/>
      </c>
      <c r="C155" s="50" t="str">
        <f>IF(ISBLANK(RECAPITULATIF!C164),"",RECAPITULATIF!C164)</f>
        <v/>
      </c>
      <c r="D155" s="69"/>
      <c r="E155" s="70"/>
      <c r="F155" s="70"/>
      <c r="G155" s="71"/>
      <c r="H155" s="70"/>
      <c r="I155" s="72"/>
      <c r="K155" s="70">
        <f>'MVMTS SORTIES &amp; FABRICATIONS'!F155</f>
        <v>0</v>
      </c>
      <c r="L155" s="70">
        <f>'MVMTS SORTIES &amp; FABRICATIONS'!E155</f>
        <v>0</v>
      </c>
    </row>
    <row r="156" spans="1:12" x14ac:dyDescent="0.2">
      <c r="A156" s="50" t="str">
        <f>IF(ISBLANK(RECAPITULATIF!A165),"",RECAPITULATIF!A165)</f>
        <v/>
      </c>
      <c r="B156" s="50" t="str">
        <f>IF(ISBLANK(RECAPITULATIF!B165),"",RECAPITULATIF!B165)</f>
        <v/>
      </c>
      <c r="C156" s="50" t="str">
        <f>IF(ISBLANK(RECAPITULATIF!C165),"",RECAPITULATIF!C165)</f>
        <v/>
      </c>
      <c r="D156" s="69"/>
      <c r="E156" s="70"/>
      <c r="F156" s="70"/>
      <c r="G156" s="71"/>
      <c r="H156" s="70"/>
      <c r="I156" s="72"/>
      <c r="K156" s="70">
        <f>'MVMTS SORTIES &amp; FABRICATIONS'!F156</f>
        <v>0</v>
      </c>
      <c r="L156" s="70">
        <f>'MVMTS SORTIES &amp; FABRICATIONS'!E156</f>
        <v>0</v>
      </c>
    </row>
    <row r="157" spans="1:12" x14ac:dyDescent="0.2">
      <c r="A157" s="50" t="str">
        <f>IF(ISBLANK(RECAPITULATIF!A166),"",RECAPITULATIF!A166)</f>
        <v/>
      </c>
      <c r="B157" s="50" t="str">
        <f>IF(ISBLANK(RECAPITULATIF!B166),"",RECAPITULATIF!B166)</f>
        <v/>
      </c>
      <c r="C157" s="50" t="str">
        <f>IF(ISBLANK(RECAPITULATIF!C166),"",RECAPITULATIF!C166)</f>
        <v/>
      </c>
      <c r="D157" s="69"/>
      <c r="E157" s="70"/>
      <c r="F157" s="70"/>
      <c r="G157" s="71"/>
      <c r="H157" s="70"/>
      <c r="I157" s="72"/>
      <c r="K157" s="70">
        <f>'MVMTS SORTIES &amp; FABRICATIONS'!F157</f>
        <v>0</v>
      </c>
      <c r="L157" s="70">
        <f>'MVMTS SORTIES &amp; FABRICATIONS'!E157</f>
        <v>0</v>
      </c>
    </row>
    <row r="158" spans="1:12" x14ac:dyDescent="0.2">
      <c r="A158" s="50" t="str">
        <f>IF(ISBLANK(RECAPITULATIF!A167),"",RECAPITULATIF!A167)</f>
        <v/>
      </c>
      <c r="B158" s="50" t="str">
        <f>IF(ISBLANK(RECAPITULATIF!B167),"",RECAPITULATIF!B167)</f>
        <v/>
      </c>
      <c r="C158" s="50" t="str">
        <f>IF(ISBLANK(RECAPITULATIF!C167),"",RECAPITULATIF!C167)</f>
        <v/>
      </c>
      <c r="D158" s="69"/>
      <c r="E158" s="70"/>
      <c r="F158" s="70"/>
      <c r="G158" s="71"/>
      <c r="H158" s="70"/>
      <c r="I158" s="72"/>
      <c r="K158" s="70">
        <f>'MVMTS SORTIES &amp; FABRICATIONS'!F158</f>
        <v>0</v>
      </c>
      <c r="L158" s="70">
        <f>'MVMTS SORTIES &amp; FABRICATIONS'!E158</f>
        <v>0</v>
      </c>
    </row>
    <row r="159" spans="1:12" x14ac:dyDescent="0.2">
      <c r="A159" s="50" t="str">
        <f>IF(ISBLANK(RECAPITULATIF!A168),"",RECAPITULATIF!A168)</f>
        <v/>
      </c>
      <c r="B159" s="50" t="str">
        <f>IF(ISBLANK(RECAPITULATIF!B168),"",RECAPITULATIF!B168)</f>
        <v/>
      </c>
      <c r="C159" s="50" t="str">
        <f>IF(ISBLANK(RECAPITULATIF!C168),"",RECAPITULATIF!C168)</f>
        <v/>
      </c>
      <c r="D159" s="69"/>
      <c r="E159" s="70"/>
      <c r="F159" s="70"/>
      <c r="G159" s="71"/>
      <c r="H159" s="70"/>
      <c r="I159" s="72"/>
      <c r="K159" s="70">
        <f>'MVMTS SORTIES &amp; FABRICATIONS'!F159</f>
        <v>0</v>
      </c>
      <c r="L159" s="70">
        <f>'MVMTS SORTIES &amp; FABRICATIONS'!E159</f>
        <v>0</v>
      </c>
    </row>
    <row r="160" spans="1:12" x14ac:dyDescent="0.2">
      <c r="A160" s="50" t="str">
        <f>IF(ISBLANK(RECAPITULATIF!A169),"",RECAPITULATIF!A169)</f>
        <v/>
      </c>
      <c r="B160" s="50" t="str">
        <f>IF(ISBLANK(RECAPITULATIF!B169),"",RECAPITULATIF!B169)</f>
        <v/>
      </c>
      <c r="C160" s="50" t="str">
        <f>IF(ISBLANK(RECAPITULATIF!C169),"",RECAPITULATIF!C169)</f>
        <v/>
      </c>
      <c r="D160" s="69"/>
      <c r="E160" s="70"/>
      <c r="F160" s="70"/>
      <c r="G160" s="71"/>
      <c r="H160" s="70"/>
      <c r="I160" s="72"/>
      <c r="K160" s="70">
        <f>'MVMTS SORTIES &amp; FABRICATIONS'!F160</f>
        <v>0</v>
      </c>
      <c r="L160" s="70">
        <f>'MVMTS SORTIES &amp; FABRICATIONS'!E160</f>
        <v>0</v>
      </c>
    </row>
    <row r="161" spans="1:12" x14ac:dyDescent="0.2">
      <c r="A161" s="50" t="str">
        <f>IF(ISBLANK(RECAPITULATIF!A170),"",RECAPITULATIF!A170)</f>
        <v/>
      </c>
      <c r="B161" s="50" t="str">
        <f>IF(ISBLANK(RECAPITULATIF!B170),"",RECAPITULATIF!B170)</f>
        <v/>
      </c>
      <c r="C161" s="50" t="str">
        <f>IF(ISBLANK(RECAPITULATIF!C170),"",RECAPITULATIF!C170)</f>
        <v/>
      </c>
      <c r="D161" s="69"/>
      <c r="E161" s="70"/>
      <c r="F161" s="70"/>
      <c r="G161" s="71"/>
      <c r="H161" s="70"/>
      <c r="I161" s="72"/>
      <c r="K161" s="70">
        <f>'MVMTS SORTIES &amp; FABRICATIONS'!F161</f>
        <v>0</v>
      </c>
      <c r="L161" s="70">
        <f>'MVMTS SORTIES &amp; FABRICATIONS'!E161</f>
        <v>0</v>
      </c>
    </row>
    <row r="162" spans="1:12" x14ac:dyDescent="0.2">
      <c r="A162" s="50" t="str">
        <f>IF(ISBLANK(RECAPITULATIF!A171),"",RECAPITULATIF!A171)</f>
        <v/>
      </c>
      <c r="B162" s="50" t="str">
        <f>IF(ISBLANK(RECAPITULATIF!B171),"",RECAPITULATIF!B171)</f>
        <v/>
      </c>
      <c r="C162" s="50" t="str">
        <f>IF(ISBLANK(RECAPITULATIF!C171),"",RECAPITULATIF!C171)</f>
        <v/>
      </c>
      <c r="D162" s="69"/>
      <c r="E162" s="70"/>
      <c r="F162" s="70"/>
      <c r="G162" s="71"/>
      <c r="H162" s="70"/>
      <c r="I162" s="72"/>
      <c r="K162" s="70">
        <f>'MVMTS SORTIES &amp; FABRICATIONS'!F162</f>
        <v>0</v>
      </c>
      <c r="L162" s="70">
        <f>'MVMTS SORTIES &amp; FABRICATIONS'!E162</f>
        <v>0</v>
      </c>
    </row>
    <row r="163" spans="1:12" x14ac:dyDescent="0.2">
      <c r="A163" s="50" t="str">
        <f>IF(ISBLANK(RECAPITULATIF!A172),"",RECAPITULATIF!A172)</f>
        <v/>
      </c>
      <c r="B163" s="50" t="str">
        <f>IF(ISBLANK(RECAPITULATIF!B172),"",RECAPITULATIF!B172)</f>
        <v/>
      </c>
      <c r="C163" s="50" t="str">
        <f>IF(ISBLANK(RECAPITULATIF!C172),"",RECAPITULATIF!C172)</f>
        <v/>
      </c>
      <c r="D163" s="69"/>
      <c r="E163" s="70"/>
      <c r="F163" s="70"/>
      <c r="G163" s="71"/>
      <c r="H163" s="70"/>
      <c r="I163" s="72"/>
      <c r="K163" s="70">
        <f>'MVMTS SORTIES &amp; FABRICATIONS'!F163</f>
        <v>0</v>
      </c>
      <c r="L163" s="70">
        <f>'MVMTS SORTIES &amp; FABRICATIONS'!E163</f>
        <v>0</v>
      </c>
    </row>
    <row r="164" spans="1:12" x14ac:dyDescent="0.2">
      <c r="A164" s="50" t="str">
        <f>IF(ISBLANK(RECAPITULATIF!A173),"",RECAPITULATIF!A173)</f>
        <v/>
      </c>
      <c r="B164" s="50" t="str">
        <f>IF(ISBLANK(RECAPITULATIF!B173),"",RECAPITULATIF!B173)</f>
        <v/>
      </c>
      <c r="C164" s="50" t="str">
        <f>IF(ISBLANK(RECAPITULATIF!C173),"",RECAPITULATIF!C173)</f>
        <v/>
      </c>
      <c r="D164" s="69"/>
      <c r="E164" s="70"/>
      <c r="F164" s="70"/>
      <c r="G164" s="71"/>
      <c r="H164" s="70"/>
      <c r="I164" s="72"/>
      <c r="K164" s="70">
        <f>'MVMTS SORTIES &amp; FABRICATIONS'!F164</f>
        <v>0</v>
      </c>
      <c r="L164" s="70">
        <f>'MVMTS SORTIES &amp; FABRICATIONS'!E164</f>
        <v>0</v>
      </c>
    </row>
    <row r="165" spans="1:12" x14ac:dyDescent="0.2">
      <c r="A165" s="50" t="str">
        <f>IF(ISBLANK(RECAPITULATIF!A174),"",RECAPITULATIF!A174)</f>
        <v/>
      </c>
      <c r="B165" s="50" t="str">
        <f>IF(ISBLANK(RECAPITULATIF!B174),"",RECAPITULATIF!B174)</f>
        <v/>
      </c>
      <c r="C165" s="50" t="str">
        <f>IF(ISBLANK(RECAPITULATIF!C174),"",RECAPITULATIF!C174)</f>
        <v/>
      </c>
      <c r="D165" s="69"/>
      <c r="E165" s="70"/>
      <c r="F165" s="70"/>
      <c r="G165" s="71"/>
      <c r="H165" s="70"/>
      <c r="I165" s="72"/>
      <c r="K165" s="70">
        <f>'MVMTS SORTIES &amp; FABRICATIONS'!F165</f>
        <v>0</v>
      </c>
      <c r="L165" s="70">
        <f>'MVMTS SORTIES &amp; FABRICATIONS'!E165</f>
        <v>0</v>
      </c>
    </row>
    <row r="166" spans="1:12" x14ac:dyDescent="0.2">
      <c r="A166" s="50" t="str">
        <f>IF(ISBLANK(RECAPITULATIF!A175),"",RECAPITULATIF!A175)</f>
        <v/>
      </c>
      <c r="B166" s="50" t="str">
        <f>IF(ISBLANK(RECAPITULATIF!B175),"",RECAPITULATIF!B175)</f>
        <v/>
      </c>
      <c r="C166" s="50" t="str">
        <f>IF(ISBLANK(RECAPITULATIF!C175),"",RECAPITULATIF!C175)</f>
        <v/>
      </c>
      <c r="D166" s="69"/>
      <c r="E166" s="70"/>
      <c r="F166" s="70"/>
      <c r="G166" s="71"/>
      <c r="H166" s="70"/>
      <c r="I166" s="72"/>
      <c r="K166" s="70">
        <f>'MVMTS SORTIES &amp; FABRICATIONS'!F166</f>
        <v>0</v>
      </c>
      <c r="L166" s="70">
        <f>'MVMTS SORTIES &amp; FABRICATIONS'!E166</f>
        <v>0</v>
      </c>
    </row>
    <row r="167" spans="1:12" x14ac:dyDescent="0.2">
      <c r="A167" s="50" t="str">
        <f>IF(ISBLANK(RECAPITULATIF!A176),"",RECAPITULATIF!A176)</f>
        <v/>
      </c>
      <c r="B167" s="50" t="str">
        <f>IF(ISBLANK(RECAPITULATIF!B176),"",RECAPITULATIF!B176)</f>
        <v/>
      </c>
      <c r="C167" s="50" t="str">
        <f>IF(ISBLANK(RECAPITULATIF!C176),"",RECAPITULATIF!C176)</f>
        <v/>
      </c>
      <c r="D167" s="69"/>
      <c r="E167" s="70"/>
      <c r="F167" s="70"/>
      <c r="G167" s="71"/>
      <c r="H167" s="70"/>
      <c r="I167" s="72"/>
      <c r="K167" s="70">
        <f>'MVMTS SORTIES &amp; FABRICATIONS'!F167</f>
        <v>0</v>
      </c>
      <c r="L167" s="70">
        <f>'MVMTS SORTIES &amp; FABRICATIONS'!E167</f>
        <v>0</v>
      </c>
    </row>
    <row r="168" spans="1:12" x14ac:dyDescent="0.2">
      <c r="A168" s="50" t="str">
        <f>IF(ISBLANK(RECAPITULATIF!A177),"",RECAPITULATIF!A177)</f>
        <v/>
      </c>
      <c r="B168" s="50" t="str">
        <f>IF(ISBLANK(RECAPITULATIF!B177),"",RECAPITULATIF!B177)</f>
        <v/>
      </c>
      <c r="C168" s="50" t="str">
        <f>IF(ISBLANK(RECAPITULATIF!C177),"",RECAPITULATIF!C177)</f>
        <v/>
      </c>
      <c r="D168" s="69"/>
      <c r="E168" s="70"/>
      <c r="F168" s="70"/>
      <c r="G168" s="71"/>
      <c r="H168" s="70"/>
      <c r="I168" s="72"/>
      <c r="K168" s="70">
        <f>'MVMTS SORTIES &amp; FABRICATIONS'!F168</f>
        <v>0</v>
      </c>
      <c r="L168" s="70">
        <f>'MVMTS SORTIES &amp; FABRICATIONS'!E168</f>
        <v>0</v>
      </c>
    </row>
    <row r="169" spans="1:12" x14ac:dyDescent="0.2">
      <c r="A169" s="50" t="str">
        <f>IF(ISBLANK(RECAPITULATIF!A178),"",RECAPITULATIF!A178)</f>
        <v/>
      </c>
      <c r="B169" s="50" t="str">
        <f>IF(ISBLANK(RECAPITULATIF!B178),"",RECAPITULATIF!B178)</f>
        <v/>
      </c>
      <c r="C169" s="50" t="str">
        <f>IF(ISBLANK(RECAPITULATIF!C178),"",RECAPITULATIF!C178)</f>
        <v/>
      </c>
      <c r="D169" s="69"/>
      <c r="E169" s="70"/>
      <c r="F169" s="70"/>
      <c r="G169" s="71"/>
      <c r="H169" s="70"/>
      <c r="I169" s="72"/>
      <c r="K169" s="70">
        <f>'MVMTS SORTIES &amp; FABRICATIONS'!F169</f>
        <v>0</v>
      </c>
      <c r="L169" s="70">
        <f>'MVMTS SORTIES &amp; FABRICATIONS'!E169</f>
        <v>0</v>
      </c>
    </row>
    <row r="170" spans="1:12" x14ac:dyDescent="0.2">
      <c r="A170" s="50" t="str">
        <f>IF(ISBLANK(RECAPITULATIF!A179),"",RECAPITULATIF!A179)</f>
        <v/>
      </c>
      <c r="B170" s="50" t="str">
        <f>IF(ISBLANK(RECAPITULATIF!B179),"",RECAPITULATIF!B179)</f>
        <v/>
      </c>
      <c r="C170" s="50" t="str">
        <f>IF(ISBLANK(RECAPITULATIF!C179),"",RECAPITULATIF!C179)</f>
        <v/>
      </c>
      <c r="D170" s="69"/>
      <c r="E170" s="70"/>
      <c r="F170" s="70"/>
      <c r="G170" s="71"/>
      <c r="H170" s="70"/>
      <c r="I170" s="72"/>
      <c r="K170" s="70">
        <f>'MVMTS SORTIES &amp; FABRICATIONS'!F170</f>
        <v>0</v>
      </c>
      <c r="L170" s="70">
        <f>'MVMTS SORTIES &amp; FABRICATIONS'!E170</f>
        <v>0</v>
      </c>
    </row>
    <row r="171" spans="1:12" x14ac:dyDescent="0.2">
      <c r="A171" s="50" t="str">
        <f>IF(ISBLANK(RECAPITULATIF!A180),"",RECAPITULATIF!A180)</f>
        <v/>
      </c>
      <c r="B171" s="50" t="str">
        <f>IF(ISBLANK(RECAPITULATIF!B180),"",RECAPITULATIF!B180)</f>
        <v/>
      </c>
      <c r="C171" s="50" t="str">
        <f>IF(ISBLANK(RECAPITULATIF!C180),"",RECAPITULATIF!C180)</f>
        <v/>
      </c>
      <c r="D171" s="69"/>
      <c r="E171" s="70"/>
      <c r="F171" s="70"/>
      <c r="G171" s="71"/>
      <c r="H171" s="70"/>
      <c r="I171" s="72"/>
      <c r="K171" s="70">
        <f>'MVMTS SORTIES &amp; FABRICATIONS'!F171</f>
        <v>0</v>
      </c>
      <c r="L171" s="70">
        <f>'MVMTS SORTIES &amp; FABRICATIONS'!E171</f>
        <v>0</v>
      </c>
    </row>
    <row r="172" spans="1:12" x14ac:dyDescent="0.2">
      <c r="A172" s="50" t="str">
        <f>IF(ISBLANK(RECAPITULATIF!A181),"",RECAPITULATIF!A181)</f>
        <v/>
      </c>
      <c r="B172" s="50" t="str">
        <f>IF(ISBLANK(RECAPITULATIF!B181),"",RECAPITULATIF!B181)</f>
        <v/>
      </c>
      <c r="C172" s="50" t="str">
        <f>IF(ISBLANK(RECAPITULATIF!C181),"",RECAPITULATIF!C181)</f>
        <v/>
      </c>
      <c r="D172" s="69"/>
      <c r="E172" s="70"/>
      <c r="F172" s="70"/>
      <c r="G172" s="71"/>
      <c r="H172" s="70"/>
      <c r="I172" s="72"/>
      <c r="K172" s="70">
        <f>'MVMTS SORTIES &amp; FABRICATIONS'!F172</f>
        <v>0</v>
      </c>
      <c r="L172" s="70">
        <f>'MVMTS SORTIES &amp; FABRICATIONS'!E172</f>
        <v>0</v>
      </c>
    </row>
    <row r="173" spans="1:12" x14ac:dyDescent="0.2">
      <c r="A173" s="50" t="str">
        <f>IF(ISBLANK(RECAPITULATIF!A182),"",RECAPITULATIF!A182)</f>
        <v/>
      </c>
      <c r="B173" s="50" t="str">
        <f>IF(ISBLANK(RECAPITULATIF!B182),"",RECAPITULATIF!B182)</f>
        <v/>
      </c>
      <c r="C173" s="50" t="str">
        <f>IF(ISBLANK(RECAPITULATIF!C182),"",RECAPITULATIF!C182)</f>
        <v/>
      </c>
      <c r="D173" s="69"/>
      <c r="E173" s="70"/>
      <c r="F173" s="70"/>
      <c r="G173" s="71"/>
      <c r="H173" s="70"/>
      <c r="I173" s="72"/>
      <c r="K173" s="70">
        <f>'MVMTS SORTIES &amp; FABRICATIONS'!F173</f>
        <v>0</v>
      </c>
      <c r="L173" s="70">
        <f>'MVMTS SORTIES &amp; FABRICATIONS'!E173</f>
        <v>0</v>
      </c>
    </row>
    <row r="174" spans="1:12" x14ac:dyDescent="0.2">
      <c r="A174" s="50" t="str">
        <f>IF(ISBLANK(RECAPITULATIF!A183),"",RECAPITULATIF!A183)</f>
        <v/>
      </c>
      <c r="B174" s="50" t="str">
        <f>IF(ISBLANK(RECAPITULATIF!B183),"",RECAPITULATIF!B183)</f>
        <v/>
      </c>
      <c r="C174" s="50" t="str">
        <f>IF(ISBLANK(RECAPITULATIF!C183),"",RECAPITULATIF!C183)</f>
        <v/>
      </c>
      <c r="D174" s="69"/>
      <c r="E174" s="70"/>
      <c r="F174" s="70"/>
      <c r="G174" s="71"/>
      <c r="H174" s="70"/>
      <c r="I174" s="72"/>
      <c r="K174" s="70">
        <f>'MVMTS SORTIES &amp; FABRICATIONS'!F174</f>
        <v>0</v>
      </c>
      <c r="L174" s="70">
        <f>'MVMTS SORTIES &amp; FABRICATIONS'!E174</f>
        <v>0</v>
      </c>
    </row>
    <row r="175" spans="1:12" x14ac:dyDescent="0.2">
      <c r="A175" s="50" t="str">
        <f>IF(ISBLANK(RECAPITULATIF!A184),"",RECAPITULATIF!A184)</f>
        <v/>
      </c>
      <c r="B175" s="50" t="str">
        <f>IF(ISBLANK(RECAPITULATIF!B184),"",RECAPITULATIF!B184)</f>
        <v/>
      </c>
      <c r="C175" s="50" t="str">
        <f>IF(ISBLANK(RECAPITULATIF!C184),"",RECAPITULATIF!C184)</f>
        <v/>
      </c>
      <c r="D175" s="69"/>
      <c r="E175" s="70"/>
      <c r="F175" s="70"/>
      <c r="G175" s="71"/>
      <c r="H175" s="70"/>
      <c r="I175" s="72"/>
      <c r="K175" s="70">
        <f>'MVMTS SORTIES &amp; FABRICATIONS'!F175</f>
        <v>0</v>
      </c>
      <c r="L175" s="70">
        <f>'MVMTS SORTIES &amp; FABRICATIONS'!E175</f>
        <v>0</v>
      </c>
    </row>
    <row r="176" spans="1:12" x14ac:dyDescent="0.2">
      <c r="A176" s="50" t="str">
        <f>IF(ISBLANK(RECAPITULATIF!A185),"",RECAPITULATIF!A185)</f>
        <v/>
      </c>
      <c r="B176" s="50" t="str">
        <f>IF(ISBLANK(RECAPITULATIF!B185),"",RECAPITULATIF!B185)</f>
        <v/>
      </c>
      <c r="C176" s="50" t="str">
        <f>IF(ISBLANK(RECAPITULATIF!C185),"",RECAPITULATIF!C185)</f>
        <v/>
      </c>
      <c r="D176" s="69"/>
      <c r="E176" s="70"/>
      <c r="F176" s="70"/>
      <c r="G176" s="71"/>
      <c r="H176" s="70"/>
      <c r="I176" s="72"/>
      <c r="K176" s="70">
        <f>'MVMTS SORTIES &amp; FABRICATIONS'!F176</f>
        <v>0</v>
      </c>
      <c r="L176" s="70">
        <f>'MVMTS SORTIES &amp; FABRICATIONS'!E176</f>
        <v>0</v>
      </c>
    </row>
    <row r="177" spans="1:12" x14ac:dyDescent="0.2">
      <c r="A177" s="50" t="str">
        <f>IF(ISBLANK(RECAPITULATIF!A186),"",RECAPITULATIF!A186)</f>
        <v/>
      </c>
      <c r="B177" s="50" t="str">
        <f>IF(ISBLANK(RECAPITULATIF!B186),"",RECAPITULATIF!B186)</f>
        <v/>
      </c>
      <c r="C177" s="50" t="str">
        <f>IF(ISBLANK(RECAPITULATIF!C186),"",RECAPITULATIF!C186)</f>
        <v/>
      </c>
      <c r="D177" s="69"/>
      <c r="E177" s="70"/>
      <c r="F177" s="70"/>
      <c r="G177" s="71"/>
      <c r="H177" s="70"/>
      <c r="I177" s="72"/>
      <c r="K177" s="70">
        <f>'MVMTS SORTIES &amp; FABRICATIONS'!F177</f>
        <v>0</v>
      </c>
      <c r="L177" s="70">
        <f>'MVMTS SORTIES &amp; FABRICATIONS'!E177</f>
        <v>0</v>
      </c>
    </row>
    <row r="178" spans="1:12" x14ac:dyDescent="0.2">
      <c r="A178" s="50" t="str">
        <f>IF(ISBLANK(RECAPITULATIF!A187),"",RECAPITULATIF!A187)</f>
        <v/>
      </c>
      <c r="B178" s="50" t="str">
        <f>IF(ISBLANK(RECAPITULATIF!B187),"",RECAPITULATIF!B187)</f>
        <v/>
      </c>
      <c r="C178" s="50" t="str">
        <f>IF(ISBLANK(RECAPITULATIF!C187),"",RECAPITULATIF!C187)</f>
        <v/>
      </c>
      <c r="D178" s="69"/>
      <c r="E178" s="70"/>
      <c r="F178" s="70"/>
      <c r="G178" s="71"/>
      <c r="H178" s="70"/>
      <c r="I178" s="72"/>
      <c r="K178" s="70">
        <f>'MVMTS SORTIES &amp; FABRICATIONS'!F178</f>
        <v>0</v>
      </c>
      <c r="L178" s="70">
        <f>'MVMTS SORTIES &amp; FABRICATIONS'!E178</f>
        <v>0</v>
      </c>
    </row>
    <row r="179" spans="1:12" x14ac:dyDescent="0.2">
      <c r="A179" s="50" t="str">
        <f>IF(ISBLANK(RECAPITULATIF!A188),"",RECAPITULATIF!A188)</f>
        <v/>
      </c>
      <c r="B179" s="50" t="str">
        <f>IF(ISBLANK(RECAPITULATIF!B188),"",RECAPITULATIF!B188)</f>
        <v/>
      </c>
      <c r="C179" s="50" t="str">
        <f>IF(ISBLANK(RECAPITULATIF!C188),"",RECAPITULATIF!C188)</f>
        <v/>
      </c>
      <c r="D179" s="69"/>
      <c r="E179" s="70"/>
      <c r="F179" s="70"/>
      <c r="G179" s="71"/>
      <c r="H179" s="70"/>
      <c r="I179" s="72"/>
      <c r="K179" s="70">
        <f>'MVMTS SORTIES &amp; FABRICATIONS'!F179</f>
        <v>0</v>
      </c>
      <c r="L179" s="70">
        <f>'MVMTS SORTIES &amp; FABRICATIONS'!E179</f>
        <v>0</v>
      </c>
    </row>
    <row r="180" spans="1:12" x14ac:dyDescent="0.2">
      <c r="A180" s="50" t="str">
        <f>IF(ISBLANK(RECAPITULATIF!A189),"",RECAPITULATIF!A189)</f>
        <v/>
      </c>
      <c r="B180" s="50" t="str">
        <f>IF(ISBLANK(RECAPITULATIF!B189),"",RECAPITULATIF!B189)</f>
        <v/>
      </c>
      <c r="C180" s="50" t="str">
        <f>IF(ISBLANK(RECAPITULATIF!C189),"",RECAPITULATIF!C189)</f>
        <v/>
      </c>
      <c r="D180" s="69"/>
      <c r="E180" s="70"/>
      <c r="F180" s="70"/>
      <c r="G180" s="71"/>
      <c r="H180" s="70"/>
      <c r="I180" s="72"/>
      <c r="K180" s="70">
        <f>'MVMTS SORTIES &amp; FABRICATIONS'!F180</f>
        <v>0</v>
      </c>
      <c r="L180" s="70">
        <f>'MVMTS SORTIES &amp; FABRICATIONS'!E180</f>
        <v>0</v>
      </c>
    </row>
    <row r="181" spans="1:12" x14ac:dyDescent="0.2">
      <c r="A181" s="50" t="str">
        <f>IF(ISBLANK(RECAPITULATIF!A190),"",RECAPITULATIF!A190)</f>
        <v/>
      </c>
      <c r="B181" s="50" t="str">
        <f>IF(ISBLANK(RECAPITULATIF!B190),"",RECAPITULATIF!B190)</f>
        <v/>
      </c>
      <c r="C181" s="50" t="str">
        <f>IF(ISBLANK(RECAPITULATIF!C190),"",RECAPITULATIF!C190)</f>
        <v/>
      </c>
      <c r="D181" s="69"/>
      <c r="E181" s="70"/>
      <c r="F181" s="70"/>
      <c r="G181" s="71"/>
      <c r="H181" s="70"/>
      <c r="I181" s="72"/>
      <c r="K181" s="70">
        <f>'MVMTS SORTIES &amp; FABRICATIONS'!F181</f>
        <v>0</v>
      </c>
      <c r="L181" s="70">
        <f>'MVMTS SORTIES &amp; FABRICATIONS'!E181</f>
        <v>0</v>
      </c>
    </row>
    <row r="182" spans="1:12" x14ac:dyDescent="0.2">
      <c r="A182" s="50" t="str">
        <f>IF(ISBLANK(RECAPITULATIF!A191),"",RECAPITULATIF!A191)</f>
        <v/>
      </c>
      <c r="B182" s="50" t="str">
        <f>IF(ISBLANK(RECAPITULATIF!B191),"",RECAPITULATIF!B191)</f>
        <v/>
      </c>
      <c r="C182" s="50" t="str">
        <f>IF(ISBLANK(RECAPITULATIF!C191),"",RECAPITULATIF!C191)</f>
        <v/>
      </c>
      <c r="D182" s="69"/>
      <c r="E182" s="70"/>
      <c r="F182" s="70"/>
      <c r="G182" s="71"/>
      <c r="H182" s="70"/>
      <c r="I182" s="72"/>
      <c r="K182" s="70">
        <f>'MVMTS SORTIES &amp; FABRICATIONS'!F182</f>
        <v>0</v>
      </c>
      <c r="L182" s="70">
        <f>'MVMTS SORTIES &amp; FABRICATIONS'!E182</f>
        <v>0</v>
      </c>
    </row>
    <row r="183" spans="1:12" x14ac:dyDescent="0.2">
      <c r="A183" s="50" t="str">
        <f>IF(ISBLANK(RECAPITULATIF!A192),"",RECAPITULATIF!A192)</f>
        <v/>
      </c>
      <c r="B183" s="50" t="str">
        <f>IF(ISBLANK(RECAPITULATIF!B192),"",RECAPITULATIF!B192)</f>
        <v/>
      </c>
      <c r="C183" s="50" t="str">
        <f>IF(ISBLANK(RECAPITULATIF!C192),"",RECAPITULATIF!C192)</f>
        <v/>
      </c>
      <c r="D183" s="69"/>
      <c r="E183" s="70"/>
      <c r="F183" s="70"/>
      <c r="G183" s="71"/>
      <c r="H183" s="70"/>
      <c r="I183" s="72"/>
      <c r="K183" s="70">
        <f>'MVMTS SORTIES &amp; FABRICATIONS'!F183</f>
        <v>0</v>
      </c>
      <c r="L183" s="70">
        <f>'MVMTS SORTIES &amp; FABRICATIONS'!E183</f>
        <v>0</v>
      </c>
    </row>
    <row r="184" spans="1:12" x14ac:dyDescent="0.2">
      <c r="A184" s="50" t="str">
        <f>IF(ISBLANK(RECAPITULATIF!A193),"",RECAPITULATIF!A193)</f>
        <v/>
      </c>
      <c r="B184" s="50" t="str">
        <f>IF(ISBLANK(RECAPITULATIF!B193),"",RECAPITULATIF!B193)</f>
        <v/>
      </c>
      <c r="C184" s="50" t="str">
        <f>IF(ISBLANK(RECAPITULATIF!C193),"",RECAPITULATIF!C193)</f>
        <v/>
      </c>
      <c r="D184" s="69"/>
      <c r="E184" s="70"/>
      <c r="F184" s="70"/>
      <c r="G184" s="71"/>
      <c r="H184" s="70"/>
      <c r="I184" s="72"/>
      <c r="K184" s="70">
        <f>'MVMTS SORTIES &amp; FABRICATIONS'!F184</f>
        <v>0</v>
      </c>
      <c r="L184" s="70">
        <f>'MVMTS SORTIES &amp; FABRICATIONS'!E184</f>
        <v>0</v>
      </c>
    </row>
    <row r="185" spans="1:12" x14ac:dyDescent="0.2">
      <c r="A185" s="50" t="str">
        <f>IF(ISBLANK(RECAPITULATIF!A194),"",RECAPITULATIF!A194)</f>
        <v/>
      </c>
      <c r="B185" s="50" t="str">
        <f>IF(ISBLANK(RECAPITULATIF!B194),"",RECAPITULATIF!B194)</f>
        <v/>
      </c>
      <c r="C185" s="50" t="str">
        <f>IF(ISBLANK(RECAPITULATIF!C194),"",RECAPITULATIF!C194)</f>
        <v/>
      </c>
      <c r="D185" s="69"/>
      <c r="E185" s="70"/>
      <c r="F185" s="70"/>
      <c r="G185" s="71"/>
      <c r="H185" s="70"/>
      <c r="I185" s="72"/>
      <c r="K185" s="70">
        <f>'MVMTS SORTIES &amp; FABRICATIONS'!F185</f>
        <v>0</v>
      </c>
      <c r="L185" s="70">
        <f>'MVMTS SORTIES &amp; FABRICATIONS'!E185</f>
        <v>0</v>
      </c>
    </row>
    <row r="186" spans="1:12" x14ac:dyDescent="0.2">
      <c r="A186" s="50" t="str">
        <f>IF(ISBLANK(RECAPITULATIF!A195),"",RECAPITULATIF!A195)</f>
        <v/>
      </c>
      <c r="B186" s="50" t="str">
        <f>IF(ISBLANK(RECAPITULATIF!B195),"",RECAPITULATIF!B195)</f>
        <v/>
      </c>
      <c r="C186" s="50" t="str">
        <f>IF(ISBLANK(RECAPITULATIF!C195),"",RECAPITULATIF!C195)</f>
        <v/>
      </c>
      <c r="D186" s="69"/>
      <c r="E186" s="70"/>
      <c r="F186" s="70"/>
      <c r="G186" s="71"/>
      <c r="H186" s="70"/>
      <c r="I186" s="72"/>
      <c r="K186" s="70">
        <f>'MVMTS SORTIES &amp; FABRICATIONS'!F186</f>
        <v>0</v>
      </c>
      <c r="L186" s="70">
        <f>'MVMTS SORTIES &amp; FABRICATIONS'!E186</f>
        <v>0</v>
      </c>
    </row>
    <row r="187" spans="1:12" x14ac:dyDescent="0.2">
      <c r="A187" s="50" t="str">
        <f>IF(ISBLANK(RECAPITULATIF!A196),"",RECAPITULATIF!A196)</f>
        <v/>
      </c>
      <c r="B187" s="50" t="str">
        <f>IF(ISBLANK(RECAPITULATIF!B196),"",RECAPITULATIF!B196)</f>
        <v/>
      </c>
      <c r="C187" s="50" t="str">
        <f>IF(ISBLANK(RECAPITULATIF!C196),"",RECAPITULATIF!C196)</f>
        <v/>
      </c>
      <c r="D187" s="69"/>
      <c r="E187" s="70"/>
      <c r="F187" s="70"/>
      <c r="G187" s="71"/>
      <c r="H187" s="70"/>
      <c r="I187" s="72"/>
      <c r="K187" s="70">
        <f>'MVMTS SORTIES &amp; FABRICATIONS'!F187</f>
        <v>0</v>
      </c>
      <c r="L187" s="70">
        <f>'MVMTS SORTIES &amp; FABRICATIONS'!E187</f>
        <v>0</v>
      </c>
    </row>
    <row r="188" spans="1:12" x14ac:dyDescent="0.2">
      <c r="A188" s="50" t="str">
        <f>IF(ISBLANK(RECAPITULATIF!A197),"",RECAPITULATIF!A197)</f>
        <v/>
      </c>
      <c r="B188" s="50" t="str">
        <f>IF(ISBLANK(RECAPITULATIF!B197),"",RECAPITULATIF!B197)</f>
        <v/>
      </c>
      <c r="C188" s="50" t="str">
        <f>IF(ISBLANK(RECAPITULATIF!C197),"",RECAPITULATIF!C197)</f>
        <v/>
      </c>
      <c r="D188" s="69"/>
      <c r="E188" s="70"/>
      <c r="F188" s="70"/>
      <c r="G188" s="71"/>
      <c r="H188" s="70"/>
      <c r="I188" s="72"/>
      <c r="K188" s="70">
        <f>'MVMTS SORTIES &amp; FABRICATIONS'!F188</f>
        <v>0</v>
      </c>
      <c r="L188" s="70">
        <f>'MVMTS SORTIES &amp; FABRICATIONS'!E188</f>
        <v>0</v>
      </c>
    </row>
    <row r="189" spans="1:12" x14ac:dyDescent="0.2">
      <c r="A189" s="50" t="str">
        <f>IF(ISBLANK(RECAPITULATIF!A198),"",RECAPITULATIF!A198)</f>
        <v/>
      </c>
      <c r="B189" s="50" t="str">
        <f>IF(ISBLANK(RECAPITULATIF!B198),"",RECAPITULATIF!B198)</f>
        <v/>
      </c>
      <c r="C189" s="50" t="str">
        <f>IF(ISBLANK(RECAPITULATIF!C198),"",RECAPITULATIF!C198)</f>
        <v/>
      </c>
      <c r="D189" s="69"/>
      <c r="E189" s="70"/>
      <c r="F189" s="70"/>
      <c r="G189" s="71"/>
      <c r="H189" s="70"/>
      <c r="I189" s="72"/>
      <c r="K189" s="70">
        <f>'MVMTS SORTIES &amp; FABRICATIONS'!F189</f>
        <v>0</v>
      </c>
      <c r="L189" s="70">
        <f>'MVMTS SORTIES &amp; FABRICATIONS'!E189</f>
        <v>0</v>
      </c>
    </row>
    <row r="190" spans="1:12" x14ac:dyDescent="0.2">
      <c r="A190" s="50" t="str">
        <f>IF(ISBLANK(RECAPITULATIF!A199),"",RECAPITULATIF!A199)</f>
        <v/>
      </c>
      <c r="B190" s="50" t="str">
        <f>IF(ISBLANK(RECAPITULATIF!B199),"",RECAPITULATIF!B199)</f>
        <v/>
      </c>
      <c r="C190" s="50" t="str">
        <f>IF(ISBLANK(RECAPITULATIF!C199),"",RECAPITULATIF!C199)</f>
        <v/>
      </c>
      <c r="D190" s="69"/>
      <c r="E190" s="70"/>
      <c r="F190" s="70"/>
      <c r="G190" s="71"/>
      <c r="H190" s="70"/>
      <c r="I190" s="72"/>
      <c r="K190" s="70">
        <f>'MVMTS SORTIES &amp; FABRICATIONS'!F190</f>
        <v>0</v>
      </c>
      <c r="L190" s="70">
        <f>'MVMTS SORTIES &amp; FABRICATIONS'!E190</f>
        <v>0</v>
      </c>
    </row>
    <row r="191" spans="1:12" x14ac:dyDescent="0.2">
      <c r="A191" s="50" t="str">
        <f>IF(ISBLANK(RECAPITULATIF!A200),"",RECAPITULATIF!A200)</f>
        <v/>
      </c>
      <c r="B191" s="50" t="str">
        <f>IF(ISBLANK(RECAPITULATIF!B200),"",RECAPITULATIF!B200)</f>
        <v/>
      </c>
      <c r="C191" s="50" t="str">
        <f>IF(ISBLANK(RECAPITULATIF!C200),"",RECAPITULATIF!C200)</f>
        <v/>
      </c>
      <c r="D191" s="69"/>
      <c r="E191" s="70"/>
      <c r="F191" s="70"/>
      <c r="G191" s="71"/>
      <c r="H191" s="70"/>
      <c r="I191" s="72"/>
      <c r="K191" s="70">
        <f>'MVMTS SORTIES &amp; FABRICATIONS'!F191</f>
        <v>0</v>
      </c>
      <c r="L191" s="70">
        <f>'MVMTS SORTIES &amp; FABRICATIONS'!E191</f>
        <v>0</v>
      </c>
    </row>
    <row r="192" spans="1:12" x14ac:dyDescent="0.2">
      <c r="A192" s="50" t="str">
        <f>IF(ISBLANK(RECAPITULATIF!A201),"",RECAPITULATIF!A201)</f>
        <v/>
      </c>
      <c r="B192" s="50" t="str">
        <f>IF(ISBLANK(RECAPITULATIF!B201),"",RECAPITULATIF!B201)</f>
        <v/>
      </c>
      <c r="C192" s="50" t="str">
        <f>IF(ISBLANK(RECAPITULATIF!C201),"",RECAPITULATIF!C201)</f>
        <v/>
      </c>
      <c r="D192" s="69"/>
      <c r="E192" s="70"/>
      <c r="F192" s="70"/>
      <c r="G192" s="71"/>
      <c r="H192" s="70"/>
      <c r="I192" s="72"/>
      <c r="K192" s="70">
        <f>'MVMTS SORTIES &amp; FABRICATIONS'!F192</f>
        <v>0</v>
      </c>
      <c r="L192" s="70">
        <f>'MVMTS SORTIES &amp; FABRICATIONS'!E192</f>
        <v>0</v>
      </c>
    </row>
    <row r="193" spans="1:12" x14ac:dyDescent="0.2">
      <c r="A193" s="50" t="str">
        <f>IF(ISBLANK(RECAPITULATIF!A202),"",RECAPITULATIF!A202)</f>
        <v/>
      </c>
      <c r="B193" s="50" t="str">
        <f>IF(ISBLANK(RECAPITULATIF!B202),"",RECAPITULATIF!B202)</f>
        <v/>
      </c>
      <c r="C193" s="50" t="str">
        <f>IF(ISBLANK(RECAPITULATIF!C202),"",RECAPITULATIF!C202)</f>
        <v/>
      </c>
      <c r="D193" s="69"/>
      <c r="E193" s="70"/>
      <c r="F193" s="70"/>
      <c r="G193" s="71"/>
      <c r="H193" s="70"/>
      <c r="I193" s="72"/>
      <c r="K193" s="70">
        <f>'MVMTS SORTIES &amp; FABRICATIONS'!F193</f>
        <v>0</v>
      </c>
      <c r="L193" s="70">
        <f>'MVMTS SORTIES &amp; FABRICATIONS'!E193</f>
        <v>0</v>
      </c>
    </row>
    <row r="194" spans="1:12" x14ac:dyDescent="0.2">
      <c r="A194" s="50" t="str">
        <f>IF(ISBLANK(RECAPITULATIF!A203),"",RECAPITULATIF!A203)</f>
        <v/>
      </c>
      <c r="B194" s="50" t="str">
        <f>IF(ISBLANK(RECAPITULATIF!B203),"",RECAPITULATIF!B203)</f>
        <v/>
      </c>
      <c r="C194" s="50" t="str">
        <f>IF(ISBLANK(RECAPITULATIF!C203),"",RECAPITULATIF!C203)</f>
        <v/>
      </c>
      <c r="D194" s="69"/>
      <c r="E194" s="70"/>
      <c r="F194" s="70"/>
      <c r="G194" s="71"/>
      <c r="H194" s="70"/>
      <c r="I194" s="72"/>
      <c r="K194" s="70">
        <f>'MVMTS SORTIES &amp; FABRICATIONS'!F194</f>
        <v>0</v>
      </c>
      <c r="L194" s="70">
        <f>'MVMTS SORTIES &amp; FABRICATIONS'!E194</f>
        <v>0</v>
      </c>
    </row>
    <row r="195" spans="1:12" x14ac:dyDescent="0.2">
      <c r="A195" s="50" t="str">
        <f>IF(ISBLANK(RECAPITULATIF!A204),"",RECAPITULATIF!A204)</f>
        <v/>
      </c>
      <c r="B195" s="50" t="str">
        <f>IF(ISBLANK(RECAPITULATIF!B204),"",RECAPITULATIF!B204)</f>
        <v/>
      </c>
      <c r="C195" s="50" t="str">
        <f>IF(ISBLANK(RECAPITULATIF!C204),"",RECAPITULATIF!C204)</f>
        <v/>
      </c>
      <c r="D195" s="69"/>
      <c r="E195" s="70"/>
      <c r="F195" s="70"/>
      <c r="G195" s="71"/>
      <c r="H195" s="70"/>
      <c r="I195" s="72"/>
      <c r="K195" s="70">
        <f>'MVMTS SORTIES &amp; FABRICATIONS'!F195</f>
        <v>0</v>
      </c>
      <c r="L195" s="70">
        <f>'MVMTS SORTIES &amp; FABRICATIONS'!E195</f>
        <v>0</v>
      </c>
    </row>
    <row r="196" spans="1:12" x14ac:dyDescent="0.2">
      <c r="A196" s="50" t="str">
        <f>IF(ISBLANK(RECAPITULATIF!A205),"",RECAPITULATIF!A205)</f>
        <v/>
      </c>
      <c r="B196" s="50" t="str">
        <f>IF(ISBLANK(RECAPITULATIF!B205),"",RECAPITULATIF!B205)</f>
        <v/>
      </c>
      <c r="C196" s="50" t="str">
        <f>IF(ISBLANK(RECAPITULATIF!C205),"",RECAPITULATIF!C205)</f>
        <v/>
      </c>
      <c r="D196" s="69"/>
      <c r="E196" s="70"/>
      <c r="F196" s="70"/>
      <c r="G196" s="71"/>
      <c r="H196" s="70"/>
      <c r="I196" s="72"/>
      <c r="K196" s="70">
        <f>'MVMTS SORTIES &amp; FABRICATIONS'!F196</f>
        <v>0</v>
      </c>
      <c r="L196" s="70">
        <f>'MVMTS SORTIES &amp; FABRICATIONS'!E196</f>
        <v>0</v>
      </c>
    </row>
    <row r="197" spans="1:12" x14ac:dyDescent="0.2">
      <c r="A197" s="50" t="str">
        <f>IF(ISBLANK(RECAPITULATIF!A206),"",RECAPITULATIF!A206)</f>
        <v/>
      </c>
      <c r="B197" s="50" t="str">
        <f>IF(ISBLANK(RECAPITULATIF!B206),"",RECAPITULATIF!B206)</f>
        <v/>
      </c>
      <c r="C197" s="50" t="str">
        <f>IF(ISBLANK(RECAPITULATIF!C206),"",RECAPITULATIF!C206)</f>
        <v/>
      </c>
      <c r="D197" s="69"/>
      <c r="E197" s="70"/>
      <c r="F197" s="70"/>
      <c r="G197" s="71"/>
      <c r="H197" s="70"/>
      <c r="I197" s="72"/>
      <c r="K197" s="70">
        <f>'MVMTS SORTIES &amp; FABRICATIONS'!F197</f>
        <v>0</v>
      </c>
      <c r="L197" s="70">
        <f>'MVMTS SORTIES &amp; FABRICATIONS'!E197</f>
        <v>0</v>
      </c>
    </row>
    <row r="198" spans="1:12" x14ac:dyDescent="0.2">
      <c r="A198" s="50" t="str">
        <f>IF(ISBLANK(RECAPITULATIF!A207),"",RECAPITULATIF!A207)</f>
        <v/>
      </c>
      <c r="B198" s="50" t="str">
        <f>IF(ISBLANK(RECAPITULATIF!B207),"",RECAPITULATIF!B207)</f>
        <v/>
      </c>
      <c r="C198" s="50" t="str">
        <f>IF(ISBLANK(RECAPITULATIF!C207),"",RECAPITULATIF!C207)</f>
        <v/>
      </c>
      <c r="D198" s="69"/>
      <c r="E198" s="70"/>
      <c r="F198" s="70"/>
      <c r="G198" s="71"/>
      <c r="H198" s="70"/>
      <c r="I198" s="72"/>
      <c r="K198" s="70">
        <f>'MVMTS SORTIES &amp; FABRICATIONS'!F198</f>
        <v>0</v>
      </c>
      <c r="L198" s="70">
        <f>'MVMTS SORTIES &amp; FABRICATIONS'!E198</f>
        <v>0</v>
      </c>
    </row>
    <row r="199" spans="1:12" x14ac:dyDescent="0.2">
      <c r="A199" s="50" t="str">
        <f>IF(ISBLANK(RECAPITULATIF!A208),"",RECAPITULATIF!A208)</f>
        <v/>
      </c>
      <c r="B199" s="50" t="str">
        <f>IF(ISBLANK(RECAPITULATIF!B208),"",RECAPITULATIF!B208)</f>
        <v/>
      </c>
      <c r="C199" s="50" t="str">
        <f>IF(ISBLANK(RECAPITULATIF!C208),"",RECAPITULATIF!C208)</f>
        <v/>
      </c>
      <c r="D199" s="69"/>
      <c r="E199" s="70"/>
      <c r="F199" s="70"/>
      <c r="G199" s="71"/>
      <c r="H199" s="70"/>
      <c r="I199" s="72"/>
      <c r="K199" s="70">
        <f>'MVMTS SORTIES &amp; FABRICATIONS'!F199</f>
        <v>0</v>
      </c>
      <c r="L199" s="70">
        <f>'MVMTS SORTIES &amp; FABRICATIONS'!E199</f>
        <v>0</v>
      </c>
    </row>
    <row r="200" spans="1:12" x14ac:dyDescent="0.2">
      <c r="A200" s="50" t="str">
        <f>IF(ISBLANK(RECAPITULATIF!A209),"",RECAPITULATIF!A209)</f>
        <v/>
      </c>
      <c r="B200" s="50" t="str">
        <f>IF(ISBLANK(RECAPITULATIF!B209),"",RECAPITULATIF!B209)</f>
        <v/>
      </c>
      <c r="C200" s="50" t="str">
        <f>IF(ISBLANK(RECAPITULATIF!C209),"",RECAPITULATIF!C209)</f>
        <v/>
      </c>
      <c r="D200" s="69"/>
      <c r="E200" s="70"/>
      <c r="F200" s="70"/>
      <c r="G200" s="71"/>
      <c r="H200" s="70"/>
      <c r="I200" s="72"/>
      <c r="K200" s="70">
        <f>'MVMTS SORTIES &amp; FABRICATIONS'!F200</f>
        <v>0</v>
      </c>
      <c r="L200" s="70">
        <f>'MVMTS SORTIES &amp; FABRICATIONS'!E200</f>
        <v>0</v>
      </c>
    </row>
    <row r="201" spans="1:12" x14ac:dyDescent="0.2">
      <c r="A201" s="50" t="str">
        <f>IF(ISBLANK(RECAPITULATIF!A210),"",RECAPITULATIF!A210)</f>
        <v/>
      </c>
      <c r="B201" s="50" t="str">
        <f>IF(ISBLANK(RECAPITULATIF!B210),"",RECAPITULATIF!B210)</f>
        <v/>
      </c>
      <c r="C201" s="50" t="str">
        <f>IF(ISBLANK(RECAPITULATIF!C210),"",RECAPITULATIF!C210)</f>
        <v/>
      </c>
      <c r="D201" s="69"/>
      <c r="E201" s="70"/>
      <c r="F201" s="70"/>
      <c r="G201" s="71"/>
      <c r="H201" s="70"/>
      <c r="I201" s="72"/>
      <c r="K201" s="70">
        <f>'MVMTS SORTIES &amp; FABRICATIONS'!F201</f>
        <v>0</v>
      </c>
      <c r="L201" s="70">
        <f>'MVMTS SORTIES &amp; FABRICATIONS'!E201</f>
        <v>0</v>
      </c>
    </row>
    <row r="202" spans="1:12" x14ac:dyDescent="0.2">
      <c r="A202" s="50" t="str">
        <f>IF(ISBLANK(RECAPITULATIF!A211),"",RECAPITULATIF!A211)</f>
        <v/>
      </c>
      <c r="B202" s="50" t="str">
        <f>IF(ISBLANK(RECAPITULATIF!B211),"",RECAPITULATIF!B211)</f>
        <v/>
      </c>
      <c r="C202" s="50" t="str">
        <f>IF(ISBLANK(RECAPITULATIF!C211),"",RECAPITULATIF!C211)</f>
        <v/>
      </c>
      <c r="D202" s="69"/>
      <c r="E202" s="70"/>
      <c r="F202" s="70"/>
      <c r="G202" s="71"/>
      <c r="H202" s="70"/>
      <c r="I202" s="72"/>
      <c r="K202" s="70">
        <f>'MVMTS SORTIES &amp; FABRICATIONS'!F202</f>
        <v>0</v>
      </c>
      <c r="L202" s="70">
        <f>'MVMTS SORTIES &amp; FABRICATIONS'!E202</f>
        <v>0</v>
      </c>
    </row>
    <row r="203" spans="1:12" x14ac:dyDescent="0.2">
      <c r="A203" s="50" t="str">
        <f>IF(ISBLANK(RECAPITULATIF!A212),"",RECAPITULATIF!A212)</f>
        <v/>
      </c>
      <c r="B203" s="50" t="str">
        <f>IF(ISBLANK(RECAPITULATIF!B212),"",RECAPITULATIF!B212)</f>
        <v/>
      </c>
      <c r="C203" s="50" t="str">
        <f>IF(ISBLANK(RECAPITULATIF!C212),"",RECAPITULATIF!C212)</f>
        <v/>
      </c>
      <c r="D203" s="69"/>
      <c r="E203" s="70"/>
      <c r="F203" s="70"/>
      <c r="G203" s="71"/>
      <c r="H203" s="70"/>
      <c r="I203" s="72"/>
      <c r="K203" s="70">
        <f>'MVMTS SORTIES &amp; FABRICATIONS'!F203</f>
        <v>0</v>
      </c>
      <c r="L203" s="70">
        <f>'MVMTS SORTIES &amp; FABRICATIONS'!E203</f>
        <v>0</v>
      </c>
    </row>
    <row r="204" spans="1:12" x14ac:dyDescent="0.2">
      <c r="A204" s="50" t="str">
        <f>IF(ISBLANK(RECAPITULATIF!A213),"",RECAPITULATIF!A213)</f>
        <v/>
      </c>
      <c r="B204" s="50" t="str">
        <f>IF(ISBLANK(RECAPITULATIF!B213),"",RECAPITULATIF!B213)</f>
        <v/>
      </c>
      <c r="C204" s="50" t="str">
        <f>IF(ISBLANK(RECAPITULATIF!C213),"",RECAPITULATIF!C213)</f>
        <v/>
      </c>
      <c r="D204" s="69"/>
      <c r="E204" s="70"/>
      <c r="F204" s="70"/>
      <c r="G204" s="71"/>
      <c r="H204" s="70"/>
      <c r="I204" s="72"/>
      <c r="K204" s="70">
        <f>'MVMTS SORTIES &amp; FABRICATIONS'!F204</f>
        <v>0</v>
      </c>
      <c r="L204" s="70">
        <f>'MVMTS SORTIES &amp; FABRICATIONS'!E204</f>
        <v>0</v>
      </c>
    </row>
    <row r="205" spans="1:12" x14ac:dyDescent="0.2">
      <c r="A205" s="50" t="str">
        <f>IF(ISBLANK(RECAPITULATIF!A214),"",RECAPITULATIF!A214)</f>
        <v/>
      </c>
      <c r="B205" s="50" t="str">
        <f>IF(ISBLANK(RECAPITULATIF!B214),"",RECAPITULATIF!B214)</f>
        <v/>
      </c>
      <c r="C205" s="50" t="str">
        <f>IF(ISBLANK(RECAPITULATIF!C214),"",RECAPITULATIF!C214)</f>
        <v/>
      </c>
      <c r="D205" s="69"/>
      <c r="E205" s="70"/>
      <c r="F205" s="70"/>
      <c r="G205" s="71"/>
      <c r="H205" s="70"/>
      <c r="I205" s="72"/>
      <c r="K205" s="70">
        <f>'MVMTS SORTIES &amp; FABRICATIONS'!F205</f>
        <v>0</v>
      </c>
      <c r="L205" s="70">
        <f>'MVMTS SORTIES &amp; FABRICATIONS'!E205</f>
        <v>0</v>
      </c>
    </row>
    <row r="206" spans="1:12" x14ac:dyDescent="0.2">
      <c r="A206" s="50" t="str">
        <f>IF(ISBLANK(RECAPITULATIF!A215),"",RECAPITULATIF!A215)</f>
        <v/>
      </c>
      <c r="B206" s="50" t="str">
        <f>IF(ISBLANK(RECAPITULATIF!B215),"",RECAPITULATIF!B215)</f>
        <v/>
      </c>
      <c r="C206" s="50" t="str">
        <f>IF(ISBLANK(RECAPITULATIF!C215),"",RECAPITULATIF!C215)</f>
        <v/>
      </c>
      <c r="D206" s="69"/>
      <c r="E206" s="70"/>
      <c r="F206" s="70"/>
      <c r="G206" s="71"/>
      <c r="H206" s="70"/>
      <c r="I206" s="72"/>
      <c r="K206" s="70">
        <f>'MVMTS SORTIES &amp; FABRICATIONS'!F206</f>
        <v>0</v>
      </c>
      <c r="L206" s="70">
        <f>'MVMTS SORTIES &amp; FABRICATIONS'!E206</f>
        <v>0</v>
      </c>
    </row>
    <row r="207" spans="1:12" x14ac:dyDescent="0.2">
      <c r="A207" s="50" t="str">
        <f>IF(ISBLANK(RECAPITULATIF!A216),"",RECAPITULATIF!A216)</f>
        <v/>
      </c>
      <c r="B207" s="50" t="str">
        <f>IF(ISBLANK(RECAPITULATIF!B216),"",RECAPITULATIF!B216)</f>
        <v/>
      </c>
      <c r="C207" s="50" t="str">
        <f>IF(ISBLANK(RECAPITULATIF!C216),"",RECAPITULATIF!C216)</f>
        <v/>
      </c>
      <c r="D207" s="69"/>
      <c r="E207" s="70"/>
      <c r="F207" s="70"/>
      <c r="G207" s="71"/>
      <c r="H207" s="70"/>
      <c r="I207" s="72"/>
      <c r="K207" s="70">
        <f>'MVMTS SORTIES &amp; FABRICATIONS'!F207</f>
        <v>0</v>
      </c>
      <c r="L207" s="70">
        <f>'MVMTS SORTIES &amp; FABRICATIONS'!E207</f>
        <v>0</v>
      </c>
    </row>
    <row r="208" spans="1:12" x14ac:dyDescent="0.2">
      <c r="A208" s="50" t="str">
        <f>IF(ISBLANK(RECAPITULATIF!A217),"",RECAPITULATIF!A217)</f>
        <v/>
      </c>
      <c r="B208" s="50" t="str">
        <f>IF(ISBLANK(RECAPITULATIF!B217),"",RECAPITULATIF!B217)</f>
        <v/>
      </c>
      <c r="C208" s="50" t="str">
        <f>IF(ISBLANK(RECAPITULATIF!C217),"",RECAPITULATIF!C217)</f>
        <v/>
      </c>
      <c r="D208" s="69"/>
      <c r="E208" s="70"/>
      <c r="F208" s="70"/>
      <c r="G208" s="71"/>
      <c r="H208" s="70"/>
      <c r="I208" s="72"/>
      <c r="K208" s="70">
        <f>'MVMTS SORTIES &amp; FABRICATIONS'!F208</f>
        <v>0</v>
      </c>
      <c r="L208" s="70">
        <f>'MVMTS SORTIES &amp; FABRICATIONS'!E208</f>
        <v>0</v>
      </c>
    </row>
    <row r="209" spans="1:12" x14ac:dyDescent="0.2">
      <c r="A209" s="50" t="str">
        <f>IF(ISBLANK(RECAPITULATIF!A218),"",RECAPITULATIF!A218)</f>
        <v/>
      </c>
      <c r="B209" s="50" t="str">
        <f>IF(ISBLANK(RECAPITULATIF!B218),"",RECAPITULATIF!B218)</f>
        <v/>
      </c>
      <c r="C209" s="50" t="str">
        <f>IF(ISBLANK(RECAPITULATIF!C218),"",RECAPITULATIF!C218)</f>
        <v/>
      </c>
      <c r="D209" s="69"/>
      <c r="E209" s="70"/>
      <c r="F209" s="70"/>
      <c r="G209" s="71"/>
      <c r="H209" s="70"/>
      <c r="I209" s="72"/>
      <c r="K209" s="70">
        <f>'MVMTS SORTIES &amp; FABRICATIONS'!F209</f>
        <v>0</v>
      </c>
      <c r="L209" s="70">
        <f>'MVMTS SORTIES &amp; FABRICATIONS'!E209</f>
        <v>0</v>
      </c>
    </row>
    <row r="210" spans="1:12" x14ac:dyDescent="0.2">
      <c r="A210" s="50" t="str">
        <f>IF(ISBLANK(RECAPITULATIF!A219),"",RECAPITULATIF!A219)</f>
        <v/>
      </c>
      <c r="B210" s="50" t="str">
        <f>IF(ISBLANK(RECAPITULATIF!B219),"",RECAPITULATIF!B219)</f>
        <v/>
      </c>
      <c r="C210" s="50" t="str">
        <f>IF(ISBLANK(RECAPITULATIF!C219),"",RECAPITULATIF!C219)</f>
        <v/>
      </c>
      <c r="D210" s="69"/>
      <c r="E210" s="70"/>
      <c r="F210" s="70"/>
      <c r="G210" s="71"/>
      <c r="H210" s="70"/>
      <c r="I210" s="72"/>
      <c r="K210" s="70">
        <f>'MVMTS SORTIES &amp; FABRICATIONS'!F210</f>
        <v>0</v>
      </c>
      <c r="L210" s="70">
        <f>'MVMTS SORTIES &amp; FABRICATIONS'!E210</f>
        <v>0</v>
      </c>
    </row>
    <row r="211" spans="1:12" x14ac:dyDescent="0.2">
      <c r="A211" s="50" t="str">
        <f>IF(ISBLANK(RECAPITULATIF!A220),"",RECAPITULATIF!A220)</f>
        <v/>
      </c>
      <c r="B211" s="50" t="str">
        <f>IF(ISBLANK(RECAPITULATIF!B220),"",RECAPITULATIF!B220)</f>
        <v/>
      </c>
      <c r="C211" s="50" t="str">
        <f>IF(ISBLANK(RECAPITULATIF!C220),"",RECAPITULATIF!C220)</f>
        <v/>
      </c>
      <c r="D211" s="69"/>
      <c r="E211" s="70"/>
      <c r="F211" s="70"/>
      <c r="G211" s="71"/>
      <c r="H211" s="70"/>
      <c r="I211" s="72"/>
      <c r="K211" s="70">
        <f>'MVMTS SORTIES &amp; FABRICATIONS'!F211</f>
        <v>0</v>
      </c>
      <c r="L211" s="70">
        <f>'MVMTS SORTIES &amp; FABRICATIONS'!E211</f>
        <v>0</v>
      </c>
    </row>
    <row r="212" spans="1:12" x14ac:dyDescent="0.2">
      <c r="A212" s="50" t="str">
        <f>IF(ISBLANK(RECAPITULATIF!A221),"",RECAPITULATIF!A221)</f>
        <v/>
      </c>
      <c r="B212" s="50" t="str">
        <f>IF(ISBLANK(RECAPITULATIF!B221),"",RECAPITULATIF!B221)</f>
        <v/>
      </c>
      <c r="C212" s="50" t="str">
        <f>IF(ISBLANK(RECAPITULATIF!C221),"",RECAPITULATIF!C221)</f>
        <v/>
      </c>
      <c r="D212" s="69"/>
      <c r="E212" s="70"/>
      <c r="F212" s="70"/>
      <c r="G212" s="71"/>
      <c r="H212" s="70"/>
      <c r="I212" s="72"/>
      <c r="K212" s="70">
        <f>'MVMTS SORTIES &amp; FABRICATIONS'!F212</f>
        <v>0</v>
      </c>
      <c r="L212" s="70">
        <f>'MVMTS SORTIES &amp; FABRICATIONS'!E212</f>
        <v>0</v>
      </c>
    </row>
    <row r="213" spans="1:12" x14ac:dyDescent="0.2">
      <c r="A213" s="50" t="str">
        <f>IF(ISBLANK(RECAPITULATIF!A222),"",RECAPITULATIF!A222)</f>
        <v/>
      </c>
      <c r="B213" s="50" t="str">
        <f>IF(ISBLANK(RECAPITULATIF!B222),"",RECAPITULATIF!B222)</f>
        <v/>
      </c>
      <c r="C213" s="50" t="str">
        <f>IF(ISBLANK(RECAPITULATIF!C222),"",RECAPITULATIF!C222)</f>
        <v/>
      </c>
      <c r="D213" s="69"/>
      <c r="E213" s="70"/>
      <c r="F213" s="70"/>
      <c r="G213" s="71"/>
      <c r="H213" s="70"/>
      <c r="I213" s="72"/>
      <c r="K213" s="70">
        <f>'MVMTS SORTIES &amp; FABRICATIONS'!F213</f>
        <v>0</v>
      </c>
      <c r="L213" s="70">
        <f>'MVMTS SORTIES &amp; FABRICATIONS'!E213</f>
        <v>0</v>
      </c>
    </row>
    <row r="214" spans="1:12" x14ac:dyDescent="0.2">
      <c r="A214" s="50" t="str">
        <f>IF(ISBLANK(RECAPITULATIF!A223),"",RECAPITULATIF!A223)</f>
        <v/>
      </c>
      <c r="B214" s="50" t="str">
        <f>IF(ISBLANK(RECAPITULATIF!B223),"",RECAPITULATIF!B223)</f>
        <v/>
      </c>
      <c r="C214" s="50" t="str">
        <f>IF(ISBLANK(RECAPITULATIF!C223),"",RECAPITULATIF!C223)</f>
        <v/>
      </c>
      <c r="D214" s="69"/>
      <c r="E214" s="70"/>
      <c r="F214" s="70"/>
      <c r="G214" s="71"/>
      <c r="H214" s="70"/>
      <c r="I214" s="72"/>
      <c r="K214" s="70">
        <f>'MVMTS SORTIES &amp; FABRICATIONS'!F214</f>
        <v>0</v>
      </c>
      <c r="L214" s="70">
        <f>'MVMTS SORTIES &amp; FABRICATIONS'!E214</f>
        <v>0</v>
      </c>
    </row>
    <row r="215" spans="1:12" x14ac:dyDescent="0.2">
      <c r="A215" s="50" t="str">
        <f>IF(ISBLANK(RECAPITULATIF!A224),"",RECAPITULATIF!A224)</f>
        <v/>
      </c>
      <c r="B215" s="50" t="str">
        <f>IF(ISBLANK(RECAPITULATIF!B224),"",RECAPITULATIF!B224)</f>
        <v/>
      </c>
      <c r="C215" s="50" t="str">
        <f>IF(ISBLANK(RECAPITULATIF!C224),"",RECAPITULATIF!C224)</f>
        <v/>
      </c>
      <c r="D215" s="69"/>
      <c r="E215" s="70"/>
      <c r="F215" s="70"/>
      <c r="G215" s="71"/>
      <c r="H215" s="70"/>
      <c r="I215" s="72"/>
      <c r="K215" s="70">
        <f>'MVMTS SORTIES &amp; FABRICATIONS'!F215</f>
        <v>0</v>
      </c>
      <c r="L215" s="70">
        <f>'MVMTS SORTIES &amp; FABRICATIONS'!E215</f>
        <v>0</v>
      </c>
    </row>
    <row r="216" spans="1:12" x14ac:dyDescent="0.2">
      <c r="A216" s="50" t="str">
        <f>IF(ISBLANK(RECAPITULATIF!A225),"",RECAPITULATIF!A225)</f>
        <v/>
      </c>
      <c r="B216" s="50" t="str">
        <f>IF(ISBLANK(RECAPITULATIF!B225),"",RECAPITULATIF!B225)</f>
        <v/>
      </c>
      <c r="C216" s="50" t="str">
        <f>IF(ISBLANK(RECAPITULATIF!C225),"",RECAPITULATIF!C225)</f>
        <v/>
      </c>
      <c r="D216" s="69"/>
      <c r="E216" s="70"/>
      <c r="F216" s="70"/>
      <c r="G216" s="71"/>
      <c r="H216" s="70"/>
      <c r="I216" s="72"/>
      <c r="K216" s="70">
        <f>'MVMTS SORTIES &amp; FABRICATIONS'!F216</f>
        <v>0</v>
      </c>
      <c r="L216" s="70">
        <f>'MVMTS SORTIES &amp; FABRICATIONS'!E216</f>
        <v>0</v>
      </c>
    </row>
    <row r="217" spans="1:12" x14ac:dyDescent="0.2">
      <c r="A217" s="50" t="str">
        <f>IF(ISBLANK(RECAPITULATIF!A226),"",RECAPITULATIF!A226)</f>
        <v/>
      </c>
      <c r="B217" s="50" t="str">
        <f>IF(ISBLANK(RECAPITULATIF!B226),"",RECAPITULATIF!B226)</f>
        <v/>
      </c>
      <c r="C217" s="50" t="str">
        <f>IF(ISBLANK(RECAPITULATIF!C226),"",RECAPITULATIF!C226)</f>
        <v/>
      </c>
      <c r="D217" s="69"/>
      <c r="E217" s="70"/>
      <c r="F217" s="70"/>
      <c r="G217" s="71"/>
      <c r="H217" s="70"/>
      <c r="I217" s="72"/>
      <c r="K217" s="70">
        <f>'MVMTS SORTIES &amp; FABRICATIONS'!F217</f>
        <v>0</v>
      </c>
      <c r="L217" s="70">
        <f>'MVMTS SORTIES &amp; FABRICATIONS'!E217</f>
        <v>0</v>
      </c>
    </row>
    <row r="218" spans="1:12" x14ac:dyDescent="0.2">
      <c r="A218" s="50" t="str">
        <f>IF(ISBLANK(RECAPITULATIF!A227),"",RECAPITULATIF!A227)</f>
        <v/>
      </c>
      <c r="B218" s="50" t="str">
        <f>IF(ISBLANK(RECAPITULATIF!B227),"",RECAPITULATIF!B227)</f>
        <v/>
      </c>
      <c r="C218" s="50" t="str">
        <f>IF(ISBLANK(RECAPITULATIF!C227),"",RECAPITULATIF!C227)</f>
        <v/>
      </c>
      <c r="D218" s="69"/>
      <c r="E218" s="70"/>
      <c r="F218" s="70"/>
      <c r="G218" s="71"/>
      <c r="H218" s="70"/>
      <c r="I218" s="72"/>
      <c r="K218" s="70">
        <f>'MVMTS SORTIES &amp; FABRICATIONS'!F218</f>
        <v>0</v>
      </c>
      <c r="L218" s="70">
        <f>'MVMTS SORTIES &amp; FABRICATIONS'!E218</f>
        <v>0</v>
      </c>
    </row>
    <row r="219" spans="1:12" x14ac:dyDescent="0.2">
      <c r="A219" s="50" t="str">
        <f>IF(ISBLANK(RECAPITULATIF!A228),"",RECAPITULATIF!A228)</f>
        <v/>
      </c>
      <c r="B219" s="50" t="str">
        <f>IF(ISBLANK(RECAPITULATIF!B228),"",RECAPITULATIF!B228)</f>
        <v/>
      </c>
      <c r="C219" s="50" t="str">
        <f>IF(ISBLANK(RECAPITULATIF!C228),"",RECAPITULATIF!C228)</f>
        <v/>
      </c>
      <c r="D219" s="69"/>
      <c r="E219" s="70"/>
      <c r="F219" s="70"/>
      <c r="G219" s="71"/>
      <c r="H219" s="70"/>
      <c r="I219" s="72"/>
      <c r="K219" s="70">
        <f>'MVMTS SORTIES &amp; FABRICATIONS'!F219</f>
        <v>0</v>
      </c>
      <c r="L219" s="70">
        <f>'MVMTS SORTIES &amp; FABRICATIONS'!E219</f>
        <v>0</v>
      </c>
    </row>
    <row r="220" spans="1:12" x14ac:dyDescent="0.2">
      <c r="A220" s="50" t="str">
        <f>IF(ISBLANK(RECAPITULATIF!A229),"",RECAPITULATIF!A229)</f>
        <v/>
      </c>
      <c r="B220" s="50" t="str">
        <f>IF(ISBLANK(RECAPITULATIF!B229),"",RECAPITULATIF!B229)</f>
        <v/>
      </c>
      <c r="C220" s="50" t="str">
        <f>IF(ISBLANK(RECAPITULATIF!C229),"",RECAPITULATIF!C229)</f>
        <v/>
      </c>
      <c r="D220" s="69"/>
      <c r="E220" s="70"/>
      <c r="F220" s="70"/>
      <c r="G220" s="71"/>
      <c r="H220" s="70"/>
      <c r="I220" s="72"/>
      <c r="K220" s="70">
        <f>'MVMTS SORTIES &amp; FABRICATIONS'!F220</f>
        <v>0</v>
      </c>
      <c r="L220" s="70">
        <f>'MVMTS SORTIES &amp; FABRICATIONS'!E220</f>
        <v>0</v>
      </c>
    </row>
    <row r="221" spans="1:12" x14ac:dyDescent="0.2">
      <c r="A221" s="50" t="str">
        <f>IF(ISBLANK(RECAPITULATIF!A230),"",RECAPITULATIF!A230)</f>
        <v/>
      </c>
      <c r="B221" s="50" t="str">
        <f>IF(ISBLANK(RECAPITULATIF!B230),"",RECAPITULATIF!B230)</f>
        <v/>
      </c>
      <c r="C221" s="50" t="str">
        <f>IF(ISBLANK(RECAPITULATIF!C230),"",RECAPITULATIF!C230)</f>
        <v/>
      </c>
      <c r="D221" s="69"/>
      <c r="E221" s="70"/>
      <c r="F221" s="70"/>
      <c r="G221" s="71"/>
      <c r="H221" s="70"/>
      <c r="I221" s="72"/>
      <c r="K221" s="70">
        <f>'MVMTS SORTIES &amp; FABRICATIONS'!F221</f>
        <v>0</v>
      </c>
      <c r="L221" s="70">
        <f>'MVMTS SORTIES &amp; FABRICATIONS'!E221</f>
        <v>0</v>
      </c>
    </row>
    <row r="222" spans="1:12" x14ac:dyDescent="0.2">
      <c r="A222" s="50" t="str">
        <f>IF(ISBLANK(RECAPITULATIF!A231),"",RECAPITULATIF!A231)</f>
        <v/>
      </c>
      <c r="B222" s="50" t="str">
        <f>IF(ISBLANK(RECAPITULATIF!B231),"",RECAPITULATIF!B231)</f>
        <v/>
      </c>
      <c r="C222" s="50" t="str">
        <f>IF(ISBLANK(RECAPITULATIF!C231),"",RECAPITULATIF!C231)</f>
        <v/>
      </c>
      <c r="D222" s="69"/>
      <c r="E222" s="70"/>
      <c r="F222" s="70"/>
      <c r="G222" s="71"/>
      <c r="H222" s="70"/>
      <c r="I222" s="72"/>
      <c r="K222" s="70">
        <f>'MVMTS SORTIES &amp; FABRICATIONS'!F222</f>
        <v>0</v>
      </c>
      <c r="L222" s="70">
        <f>'MVMTS SORTIES &amp; FABRICATIONS'!E222</f>
        <v>0</v>
      </c>
    </row>
    <row r="223" spans="1:12" x14ac:dyDescent="0.2">
      <c r="A223" s="50" t="str">
        <f>IF(ISBLANK(RECAPITULATIF!A232),"",RECAPITULATIF!A232)</f>
        <v/>
      </c>
      <c r="B223" s="50" t="str">
        <f>IF(ISBLANK(RECAPITULATIF!B232),"",RECAPITULATIF!B232)</f>
        <v/>
      </c>
      <c r="C223" s="50" t="str">
        <f>IF(ISBLANK(RECAPITULATIF!C232),"",RECAPITULATIF!C232)</f>
        <v/>
      </c>
      <c r="D223" s="69"/>
      <c r="E223" s="70"/>
      <c r="F223" s="70"/>
      <c r="G223" s="71"/>
      <c r="H223" s="70"/>
      <c r="I223" s="72"/>
      <c r="K223" s="70">
        <f>'MVMTS SORTIES &amp; FABRICATIONS'!F223</f>
        <v>0</v>
      </c>
      <c r="L223" s="70">
        <f>'MVMTS SORTIES &amp; FABRICATIONS'!E223</f>
        <v>0</v>
      </c>
    </row>
    <row r="224" spans="1:12" x14ac:dyDescent="0.2">
      <c r="A224" s="50" t="str">
        <f>IF(ISBLANK(RECAPITULATIF!A233),"",RECAPITULATIF!A233)</f>
        <v/>
      </c>
      <c r="B224" s="50" t="str">
        <f>IF(ISBLANK(RECAPITULATIF!B233),"",RECAPITULATIF!B233)</f>
        <v/>
      </c>
      <c r="C224" s="50" t="str">
        <f>IF(ISBLANK(RECAPITULATIF!C233),"",RECAPITULATIF!C233)</f>
        <v/>
      </c>
      <c r="D224" s="69"/>
      <c r="E224" s="70"/>
      <c r="F224" s="70"/>
      <c r="G224" s="71"/>
      <c r="H224" s="70"/>
      <c r="I224" s="72"/>
      <c r="K224" s="70">
        <f>'MVMTS SORTIES &amp; FABRICATIONS'!F224</f>
        <v>0</v>
      </c>
      <c r="L224" s="70">
        <f>'MVMTS SORTIES &amp; FABRICATIONS'!E224</f>
        <v>0</v>
      </c>
    </row>
    <row r="225" spans="1:12" x14ac:dyDescent="0.2">
      <c r="A225" s="50" t="str">
        <f>IF(ISBLANK(RECAPITULATIF!A234),"",RECAPITULATIF!A234)</f>
        <v/>
      </c>
      <c r="B225" s="50" t="str">
        <f>IF(ISBLANK(RECAPITULATIF!B234),"",RECAPITULATIF!B234)</f>
        <v/>
      </c>
      <c r="C225" s="50" t="str">
        <f>IF(ISBLANK(RECAPITULATIF!C234),"",RECAPITULATIF!C234)</f>
        <v/>
      </c>
      <c r="D225" s="69"/>
      <c r="E225" s="70"/>
      <c r="F225" s="70"/>
      <c r="G225" s="71"/>
      <c r="H225" s="70"/>
      <c r="I225" s="72"/>
      <c r="K225" s="70">
        <f>'MVMTS SORTIES &amp; FABRICATIONS'!F225</f>
        <v>0</v>
      </c>
      <c r="L225" s="70">
        <f>'MVMTS SORTIES &amp; FABRICATIONS'!E225</f>
        <v>0</v>
      </c>
    </row>
    <row r="226" spans="1:12" x14ac:dyDescent="0.2">
      <c r="A226" s="50" t="str">
        <f>IF(ISBLANK(RECAPITULATIF!A235),"",RECAPITULATIF!A235)</f>
        <v/>
      </c>
      <c r="B226" s="50" t="str">
        <f>IF(ISBLANK(RECAPITULATIF!B235),"",RECAPITULATIF!B235)</f>
        <v/>
      </c>
      <c r="C226" s="50" t="str">
        <f>IF(ISBLANK(RECAPITULATIF!C235),"",RECAPITULATIF!C235)</f>
        <v/>
      </c>
      <c r="D226" s="69"/>
      <c r="E226" s="70"/>
      <c r="F226" s="70"/>
      <c r="G226" s="71"/>
      <c r="H226" s="70"/>
      <c r="I226" s="72"/>
      <c r="K226" s="70">
        <f>'MVMTS SORTIES &amp; FABRICATIONS'!F226</f>
        <v>0</v>
      </c>
      <c r="L226" s="70">
        <f>'MVMTS SORTIES &amp; FABRICATIONS'!E226</f>
        <v>0</v>
      </c>
    </row>
    <row r="227" spans="1:12" x14ac:dyDescent="0.2">
      <c r="A227" s="50" t="str">
        <f>IF(ISBLANK(RECAPITULATIF!A236),"",RECAPITULATIF!A236)</f>
        <v/>
      </c>
      <c r="B227" s="50" t="str">
        <f>IF(ISBLANK(RECAPITULATIF!B236),"",RECAPITULATIF!B236)</f>
        <v/>
      </c>
      <c r="C227" s="50" t="str">
        <f>IF(ISBLANK(RECAPITULATIF!C236),"",RECAPITULATIF!C236)</f>
        <v/>
      </c>
      <c r="D227" s="69"/>
      <c r="E227" s="70"/>
      <c r="F227" s="70"/>
      <c r="G227" s="71"/>
      <c r="H227" s="70"/>
      <c r="I227" s="72"/>
      <c r="K227" s="70">
        <f>'MVMTS SORTIES &amp; FABRICATIONS'!F227</f>
        <v>0</v>
      </c>
      <c r="L227" s="70">
        <f>'MVMTS SORTIES &amp; FABRICATIONS'!E227</f>
        <v>0</v>
      </c>
    </row>
    <row r="228" spans="1:12" x14ac:dyDescent="0.2">
      <c r="A228" s="50" t="str">
        <f>IF(ISBLANK(RECAPITULATIF!A237),"",RECAPITULATIF!A237)</f>
        <v/>
      </c>
      <c r="B228" s="50" t="str">
        <f>IF(ISBLANK(RECAPITULATIF!B237),"",RECAPITULATIF!B237)</f>
        <v/>
      </c>
      <c r="C228" s="50" t="str">
        <f>IF(ISBLANK(RECAPITULATIF!C237),"",RECAPITULATIF!C237)</f>
        <v/>
      </c>
      <c r="D228" s="69"/>
      <c r="E228" s="70"/>
      <c r="F228" s="70"/>
      <c r="G228" s="71"/>
      <c r="H228" s="70"/>
      <c r="I228" s="72"/>
      <c r="K228" s="70">
        <f>'MVMTS SORTIES &amp; FABRICATIONS'!F228</f>
        <v>0</v>
      </c>
      <c r="L228" s="70">
        <f>'MVMTS SORTIES &amp; FABRICATIONS'!E228</f>
        <v>0</v>
      </c>
    </row>
    <row r="229" spans="1:12" x14ac:dyDescent="0.2">
      <c r="A229" s="50" t="str">
        <f>IF(ISBLANK(RECAPITULATIF!A238),"",RECAPITULATIF!A238)</f>
        <v/>
      </c>
      <c r="B229" s="50" t="str">
        <f>IF(ISBLANK(RECAPITULATIF!B238),"",RECAPITULATIF!B238)</f>
        <v/>
      </c>
      <c r="C229" s="50" t="str">
        <f>IF(ISBLANK(RECAPITULATIF!C238),"",RECAPITULATIF!C238)</f>
        <v/>
      </c>
      <c r="D229" s="69"/>
      <c r="E229" s="70"/>
      <c r="F229" s="70"/>
      <c r="G229" s="71"/>
      <c r="H229" s="70"/>
      <c r="I229" s="72"/>
      <c r="K229" s="70">
        <f>'MVMTS SORTIES &amp; FABRICATIONS'!F229</f>
        <v>0</v>
      </c>
      <c r="L229" s="70">
        <f>'MVMTS SORTIES &amp; FABRICATIONS'!E229</f>
        <v>0</v>
      </c>
    </row>
    <row r="230" spans="1:12" x14ac:dyDescent="0.2">
      <c r="A230" s="50" t="str">
        <f>IF(ISBLANK(RECAPITULATIF!A239),"",RECAPITULATIF!A239)</f>
        <v/>
      </c>
      <c r="B230" s="50" t="str">
        <f>IF(ISBLANK(RECAPITULATIF!B239),"",RECAPITULATIF!B239)</f>
        <v/>
      </c>
      <c r="C230" s="50" t="str">
        <f>IF(ISBLANK(RECAPITULATIF!C239),"",RECAPITULATIF!C239)</f>
        <v/>
      </c>
      <c r="D230" s="69"/>
      <c r="E230" s="70"/>
      <c r="F230" s="70"/>
      <c r="G230" s="71"/>
      <c r="H230" s="70"/>
      <c r="I230" s="72"/>
      <c r="K230" s="70">
        <f>'MVMTS SORTIES &amp; FABRICATIONS'!F230</f>
        <v>0</v>
      </c>
      <c r="L230" s="70">
        <f>'MVMTS SORTIES &amp; FABRICATIONS'!E230</f>
        <v>0</v>
      </c>
    </row>
    <row r="231" spans="1:12" x14ac:dyDescent="0.2">
      <c r="A231" s="50" t="str">
        <f>IF(ISBLANK(RECAPITULATIF!A240),"",RECAPITULATIF!A240)</f>
        <v/>
      </c>
      <c r="B231" s="50" t="str">
        <f>IF(ISBLANK(RECAPITULATIF!B240),"",RECAPITULATIF!B240)</f>
        <v/>
      </c>
      <c r="C231" s="50" t="str">
        <f>IF(ISBLANK(RECAPITULATIF!C240),"",RECAPITULATIF!C240)</f>
        <v/>
      </c>
      <c r="D231" s="69"/>
      <c r="E231" s="70"/>
      <c r="F231" s="70"/>
      <c r="G231" s="71"/>
      <c r="H231" s="70"/>
      <c r="I231" s="72"/>
      <c r="K231" s="70">
        <f>'MVMTS SORTIES &amp; FABRICATIONS'!F231</f>
        <v>0</v>
      </c>
      <c r="L231" s="70">
        <f>'MVMTS SORTIES &amp; FABRICATIONS'!E231</f>
        <v>0</v>
      </c>
    </row>
    <row r="232" spans="1:12" x14ac:dyDescent="0.2">
      <c r="A232" s="50" t="str">
        <f>IF(ISBLANK(RECAPITULATIF!A241),"",RECAPITULATIF!A241)</f>
        <v/>
      </c>
      <c r="B232" s="50" t="str">
        <f>IF(ISBLANK(RECAPITULATIF!B241),"",RECAPITULATIF!B241)</f>
        <v/>
      </c>
      <c r="C232" s="50" t="str">
        <f>IF(ISBLANK(RECAPITULATIF!C241),"",RECAPITULATIF!C241)</f>
        <v/>
      </c>
      <c r="D232" s="69"/>
      <c r="E232" s="70"/>
      <c r="F232" s="70"/>
      <c r="G232" s="71"/>
      <c r="H232" s="70"/>
      <c r="I232" s="72"/>
      <c r="K232" s="70">
        <f>'MVMTS SORTIES &amp; FABRICATIONS'!F232</f>
        <v>0</v>
      </c>
      <c r="L232" s="70">
        <f>'MVMTS SORTIES &amp; FABRICATIONS'!E232</f>
        <v>0</v>
      </c>
    </row>
    <row r="233" spans="1:12" x14ac:dyDescent="0.2">
      <c r="A233" s="50" t="str">
        <f>IF(ISBLANK(RECAPITULATIF!A242),"",RECAPITULATIF!A242)</f>
        <v/>
      </c>
      <c r="B233" s="50" t="str">
        <f>IF(ISBLANK(RECAPITULATIF!B242),"",RECAPITULATIF!B242)</f>
        <v/>
      </c>
      <c r="C233" s="50" t="str">
        <f>IF(ISBLANK(RECAPITULATIF!C242),"",RECAPITULATIF!C242)</f>
        <v/>
      </c>
      <c r="D233" s="69"/>
      <c r="E233" s="70"/>
      <c r="F233" s="70"/>
      <c r="G233" s="71"/>
      <c r="H233" s="70"/>
      <c r="I233" s="72"/>
      <c r="K233" s="70">
        <f>'MVMTS SORTIES &amp; FABRICATIONS'!F233</f>
        <v>0</v>
      </c>
      <c r="L233" s="70">
        <f>'MVMTS SORTIES &amp; FABRICATIONS'!E233</f>
        <v>0</v>
      </c>
    </row>
    <row r="234" spans="1:12" x14ac:dyDescent="0.2">
      <c r="A234" s="50" t="str">
        <f>IF(ISBLANK(RECAPITULATIF!A243),"",RECAPITULATIF!A243)</f>
        <v/>
      </c>
      <c r="B234" s="50" t="str">
        <f>IF(ISBLANK(RECAPITULATIF!B243),"",RECAPITULATIF!B243)</f>
        <v/>
      </c>
      <c r="C234" s="50" t="str">
        <f>IF(ISBLANK(RECAPITULATIF!C243),"",RECAPITULATIF!C243)</f>
        <v/>
      </c>
      <c r="D234" s="69"/>
      <c r="E234" s="70"/>
      <c r="F234" s="70"/>
      <c r="G234" s="71"/>
      <c r="H234" s="70"/>
      <c r="I234" s="72"/>
      <c r="K234" s="70">
        <f>'MVMTS SORTIES &amp; FABRICATIONS'!F234</f>
        <v>0</v>
      </c>
      <c r="L234" s="70">
        <f>'MVMTS SORTIES &amp; FABRICATIONS'!E234</f>
        <v>0</v>
      </c>
    </row>
    <row r="235" spans="1:12" x14ac:dyDescent="0.2">
      <c r="A235" s="50" t="str">
        <f>IF(ISBLANK(RECAPITULATIF!A244),"",RECAPITULATIF!A244)</f>
        <v/>
      </c>
      <c r="B235" s="50" t="str">
        <f>IF(ISBLANK(RECAPITULATIF!B244),"",RECAPITULATIF!B244)</f>
        <v/>
      </c>
      <c r="C235" s="50" t="str">
        <f>IF(ISBLANK(RECAPITULATIF!C244),"",RECAPITULATIF!C244)</f>
        <v/>
      </c>
      <c r="D235" s="69"/>
      <c r="E235" s="70"/>
      <c r="F235" s="70"/>
      <c r="G235" s="71"/>
      <c r="H235" s="70"/>
      <c r="I235" s="72"/>
      <c r="K235" s="70">
        <f>'MVMTS SORTIES &amp; FABRICATIONS'!F235</f>
        <v>0</v>
      </c>
      <c r="L235" s="70">
        <f>'MVMTS SORTIES &amp; FABRICATIONS'!E235</f>
        <v>0</v>
      </c>
    </row>
    <row r="236" spans="1:12" x14ac:dyDescent="0.2">
      <c r="A236" s="50" t="str">
        <f>IF(ISBLANK(RECAPITULATIF!A245),"",RECAPITULATIF!A245)</f>
        <v/>
      </c>
      <c r="B236" s="50" t="str">
        <f>IF(ISBLANK(RECAPITULATIF!B245),"",RECAPITULATIF!B245)</f>
        <v/>
      </c>
      <c r="C236" s="50" t="str">
        <f>IF(ISBLANK(RECAPITULATIF!C245),"",RECAPITULATIF!C245)</f>
        <v/>
      </c>
      <c r="D236" s="69"/>
      <c r="E236" s="70"/>
      <c r="F236" s="70"/>
      <c r="G236" s="71"/>
      <c r="H236" s="70"/>
      <c r="I236" s="72"/>
      <c r="K236" s="70">
        <f>'MVMTS SORTIES &amp; FABRICATIONS'!F236</f>
        <v>0</v>
      </c>
      <c r="L236" s="70">
        <f>'MVMTS SORTIES &amp; FABRICATIONS'!E236</f>
        <v>0</v>
      </c>
    </row>
    <row r="237" spans="1:12" x14ac:dyDescent="0.2">
      <c r="A237" s="50" t="str">
        <f>IF(ISBLANK(RECAPITULATIF!A246),"",RECAPITULATIF!A246)</f>
        <v/>
      </c>
      <c r="B237" s="50" t="str">
        <f>IF(ISBLANK(RECAPITULATIF!B246),"",RECAPITULATIF!B246)</f>
        <v/>
      </c>
      <c r="C237" s="50" t="str">
        <f>IF(ISBLANK(RECAPITULATIF!C246),"",RECAPITULATIF!C246)</f>
        <v/>
      </c>
      <c r="D237" s="69"/>
      <c r="E237" s="70"/>
      <c r="F237" s="70"/>
      <c r="G237" s="71"/>
      <c r="H237" s="70"/>
      <c r="I237" s="72"/>
      <c r="K237" s="70">
        <f>'MVMTS SORTIES &amp; FABRICATIONS'!F237</f>
        <v>0</v>
      </c>
      <c r="L237" s="70">
        <f>'MVMTS SORTIES &amp; FABRICATIONS'!E237</f>
        <v>0</v>
      </c>
    </row>
    <row r="238" spans="1:12" x14ac:dyDescent="0.2">
      <c r="A238" s="50" t="str">
        <f>IF(ISBLANK(RECAPITULATIF!A247),"",RECAPITULATIF!A247)</f>
        <v/>
      </c>
      <c r="B238" s="50" t="str">
        <f>IF(ISBLANK(RECAPITULATIF!B247),"",RECAPITULATIF!B247)</f>
        <v/>
      </c>
      <c r="C238" s="50" t="str">
        <f>IF(ISBLANK(RECAPITULATIF!C247),"",RECAPITULATIF!C247)</f>
        <v/>
      </c>
      <c r="D238" s="69"/>
      <c r="E238" s="70"/>
      <c r="F238" s="70"/>
      <c r="G238" s="71"/>
      <c r="H238" s="70"/>
      <c r="I238" s="72"/>
      <c r="K238" s="70">
        <f>'MVMTS SORTIES &amp; FABRICATIONS'!F238</f>
        <v>0</v>
      </c>
      <c r="L238" s="70">
        <f>'MVMTS SORTIES &amp; FABRICATIONS'!E238</f>
        <v>0</v>
      </c>
    </row>
    <row r="239" spans="1:12" x14ac:dyDescent="0.2">
      <c r="A239" s="50" t="str">
        <f>IF(ISBLANK(RECAPITULATIF!A248),"",RECAPITULATIF!A248)</f>
        <v/>
      </c>
      <c r="B239" s="50" t="str">
        <f>IF(ISBLANK(RECAPITULATIF!B248),"",RECAPITULATIF!B248)</f>
        <v/>
      </c>
      <c r="C239" s="50" t="str">
        <f>IF(ISBLANK(RECAPITULATIF!C248),"",RECAPITULATIF!C248)</f>
        <v/>
      </c>
      <c r="D239" s="69"/>
      <c r="E239" s="70"/>
      <c r="F239" s="70"/>
      <c r="G239" s="71"/>
      <c r="H239" s="70"/>
      <c r="I239" s="72"/>
      <c r="K239" s="70">
        <f>'MVMTS SORTIES &amp; FABRICATIONS'!F239</f>
        <v>0</v>
      </c>
      <c r="L239" s="70">
        <f>'MVMTS SORTIES &amp; FABRICATIONS'!E239</f>
        <v>0</v>
      </c>
    </row>
    <row r="240" spans="1:12" x14ac:dyDescent="0.2">
      <c r="A240" s="50" t="str">
        <f>IF(ISBLANK(RECAPITULATIF!A249),"",RECAPITULATIF!A249)</f>
        <v/>
      </c>
      <c r="B240" s="50" t="str">
        <f>IF(ISBLANK(RECAPITULATIF!B249),"",RECAPITULATIF!B249)</f>
        <v/>
      </c>
      <c r="C240" s="50" t="str">
        <f>IF(ISBLANK(RECAPITULATIF!C249),"",RECAPITULATIF!C249)</f>
        <v/>
      </c>
      <c r="D240" s="69"/>
      <c r="E240" s="70"/>
      <c r="F240" s="70"/>
      <c r="G240" s="71"/>
      <c r="H240" s="70"/>
      <c r="I240" s="72"/>
      <c r="K240" s="70">
        <f>'MVMTS SORTIES &amp; FABRICATIONS'!F240</f>
        <v>0</v>
      </c>
      <c r="L240" s="70">
        <f>'MVMTS SORTIES &amp; FABRICATIONS'!E240</f>
        <v>0</v>
      </c>
    </row>
    <row r="241" spans="1:12" x14ac:dyDescent="0.2">
      <c r="A241" s="50" t="str">
        <f>IF(ISBLANK(RECAPITULATIF!A250),"",RECAPITULATIF!A250)</f>
        <v/>
      </c>
      <c r="B241" s="50" t="str">
        <f>IF(ISBLANK(RECAPITULATIF!B250),"",RECAPITULATIF!B250)</f>
        <v/>
      </c>
      <c r="C241" s="50" t="str">
        <f>IF(ISBLANK(RECAPITULATIF!C250),"",RECAPITULATIF!C250)</f>
        <v/>
      </c>
      <c r="D241" s="69"/>
      <c r="E241" s="70"/>
      <c r="F241" s="70"/>
      <c r="G241" s="71"/>
      <c r="H241" s="70"/>
      <c r="I241" s="72"/>
      <c r="K241" s="70">
        <f>'MVMTS SORTIES &amp; FABRICATIONS'!F241</f>
        <v>0</v>
      </c>
      <c r="L241" s="70">
        <f>'MVMTS SORTIES &amp; FABRICATIONS'!E241</f>
        <v>0</v>
      </c>
    </row>
    <row r="242" spans="1:12" x14ac:dyDescent="0.2">
      <c r="A242" s="50" t="str">
        <f>IF(ISBLANK(RECAPITULATIF!A251),"",RECAPITULATIF!A251)</f>
        <v/>
      </c>
      <c r="B242" s="50" t="str">
        <f>IF(ISBLANK(RECAPITULATIF!B251),"",RECAPITULATIF!B251)</f>
        <v/>
      </c>
      <c r="C242" s="50" t="str">
        <f>IF(ISBLANK(RECAPITULATIF!C251),"",RECAPITULATIF!C251)</f>
        <v/>
      </c>
      <c r="D242" s="69"/>
      <c r="E242" s="70"/>
      <c r="F242" s="70"/>
      <c r="G242" s="71"/>
      <c r="H242" s="70"/>
      <c r="I242" s="72"/>
      <c r="K242" s="70">
        <f>'MVMTS SORTIES &amp; FABRICATIONS'!F242</f>
        <v>0</v>
      </c>
      <c r="L242" s="70">
        <f>'MVMTS SORTIES &amp; FABRICATIONS'!E242</f>
        <v>0</v>
      </c>
    </row>
    <row r="243" spans="1:12" x14ac:dyDescent="0.2">
      <c r="A243" s="50" t="str">
        <f>IF(ISBLANK(RECAPITULATIF!A252),"",RECAPITULATIF!A252)</f>
        <v/>
      </c>
      <c r="B243" s="50" t="str">
        <f>IF(ISBLANK(RECAPITULATIF!B252),"",RECAPITULATIF!B252)</f>
        <v/>
      </c>
      <c r="C243" s="50" t="str">
        <f>IF(ISBLANK(RECAPITULATIF!C252),"",RECAPITULATIF!C252)</f>
        <v/>
      </c>
      <c r="D243" s="69"/>
      <c r="E243" s="70"/>
      <c r="F243" s="70"/>
      <c r="G243" s="71"/>
      <c r="H243" s="70"/>
      <c r="I243" s="72"/>
      <c r="K243" s="70">
        <f>'MVMTS SORTIES &amp; FABRICATIONS'!F243</f>
        <v>0</v>
      </c>
      <c r="L243" s="70">
        <f>'MVMTS SORTIES &amp; FABRICATIONS'!E243</f>
        <v>0</v>
      </c>
    </row>
    <row r="244" spans="1:12" x14ac:dyDescent="0.2">
      <c r="A244" s="50" t="str">
        <f>IF(ISBLANK(RECAPITULATIF!A253),"",RECAPITULATIF!A253)</f>
        <v/>
      </c>
      <c r="B244" s="50" t="str">
        <f>IF(ISBLANK(RECAPITULATIF!B253),"",RECAPITULATIF!B253)</f>
        <v/>
      </c>
      <c r="C244" s="50" t="str">
        <f>IF(ISBLANK(RECAPITULATIF!C253),"",RECAPITULATIF!C253)</f>
        <v/>
      </c>
      <c r="D244" s="69"/>
      <c r="E244" s="70"/>
      <c r="F244" s="70"/>
      <c r="G244" s="71"/>
      <c r="H244" s="70"/>
      <c r="I244" s="72"/>
      <c r="K244" s="70">
        <f>'MVMTS SORTIES &amp; FABRICATIONS'!F244</f>
        <v>0</v>
      </c>
      <c r="L244" s="70">
        <f>'MVMTS SORTIES &amp; FABRICATIONS'!E244</f>
        <v>0</v>
      </c>
    </row>
    <row r="245" spans="1:12" x14ac:dyDescent="0.2">
      <c r="A245" s="50" t="str">
        <f>IF(ISBLANK(RECAPITULATIF!A254),"",RECAPITULATIF!A254)</f>
        <v/>
      </c>
      <c r="B245" s="50" t="str">
        <f>IF(ISBLANK(RECAPITULATIF!B254),"",RECAPITULATIF!B254)</f>
        <v/>
      </c>
      <c r="C245" s="50" t="str">
        <f>IF(ISBLANK(RECAPITULATIF!C254),"",RECAPITULATIF!C254)</f>
        <v/>
      </c>
      <c r="D245" s="69"/>
      <c r="E245" s="70"/>
      <c r="F245" s="70"/>
      <c r="G245" s="71"/>
      <c r="H245" s="70"/>
      <c r="I245" s="72"/>
      <c r="K245" s="70">
        <f>'MVMTS SORTIES &amp; FABRICATIONS'!F245</f>
        <v>0</v>
      </c>
      <c r="L245" s="70">
        <f>'MVMTS SORTIES &amp; FABRICATIONS'!E245</f>
        <v>0</v>
      </c>
    </row>
    <row r="246" spans="1:12" x14ac:dyDescent="0.2">
      <c r="A246" s="50" t="str">
        <f>IF(ISBLANK(RECAPITULATIF!A255),"",RECAPITULATIF!A255)</f>
        <v/>
      </c>
      <c r="B246" s="50" t="str">
        <f>IF(ISBLANK(RECAPITULATIF!B255),"",RECAPITULATIF!B255)</f>
        <v/>
      </c>
      <c r="C246" s="50" t="str">
        <f>IF(ISBLANK(RECAPITULATIF!C255),"",RECAPITULATIF!C255)</f>
        <v/>
      </c>
      <c r="D246" s="73"/>
      <c r="E246" s="70"/>
      <c r="F246" s="70"/>
      <c r="G246" s="75"/>
      <c r="H246" s="74"/>
      <c r="I246" s="76"/>
      <c r="K246" s="70">
        <f>'MVMTS SORTIES &amp; FABRICATIONS'!F246</f>
        <v>0</v>
      </c>
      <c r="L246" s="70">
        <f>'MVMTS SORTIES &amp; FABRICATIONS'!E246</f>
        <v>0</v>
      </c>
    </row>
    <row r="247" spans="1:12" x14ac:dyDescent="0.2">
      <c r="A247" s="50" t="str">
        <f>IF(ISBLANK(RECAPITULATIF!A256),"",RECAPITULATIF!A256)</f>
        <v/>
      </c>
      <c r="B247" s="50" t="str">
        <f>IF(ISBLANK(RECAPITULATIF!B256),"",RECAPITULATIF!B256)</f>
        <v/>
      </c>
      <c r="C247" s="50" t="str">
        <f>IF(ISBLANK(RECAPITULATIF!C256),"",RECAPITULATIF!C256)</f>
        <v/>
      </c>
      <c r="D247" s="73"/>
      <c r="E247" s="70"/>
      <c r="F247" s="70"/>
      <c r="G247" s="75"/>
      <c r="H247" s="74"/>
      <c r="I247" s="76"/>
      <c r="K247" s="70">
        <f>'MVMTS SORTIES &amp; FABRICATIONS'!F247</f>
        <v>0</v>
      </c>
      <c r="L247" s="70">
        <f>'MVMTS SORTIES &amp; FABRICATIONS'!E247</f>
        <v>0</v>
      </c>
    </row>
    <row r="248" spans="1:12" x14ac:dyDescent="0.2">
      <c r="A248" s="50" t="str">
        <f>IF(ISBLANK(RECAPITULATIF!A257),"",RECAPITULATIF!A257)</f>
        <v/>
      </c>
      <c r="B248" s="50" t="str">
        <f>IF(ISBLANK(RECAPITULATIF!B257),"",RECAPITULATIF!B257)</f>
        <v/>
      </c>
      <c r="C248" s="50" t="str">
        <f>IF(ISBLANK(RECAPITULATIF!C257),"",RECAPITULATIF!C257)</f>
        <v/>
      </c>
      <c r="D248" s="73"/>
      <c r="E248" s="70"/>
      <c r="F248" s="70"/>
      <c r="G248" s="75"/>
      <c r="H248" s="74"/>
      <c r="I248" s="76"/>
      <c r="K248" s="70">
        <f>'MVMTS SORTIES &amp; FABRICATIONS'!F248</f>
        <v>0</v>
      </c>
      <c r="L248" s="70">
        <f>'MVMTS SORTIES &amp; FABRICATIONS'!E248</f>
        <v>0</v>
      </c>
    </row>
    <row r="249" spans="1:12" x14ac:dyDescent="0.2">
      <c r="A249" s="50" t="str">
        <f>IF(ISBLANK(RECAPITULATIF!A258),"",RECAPITULATIF!A258)</f>
        <v/>
      </c>
      <c r="B249" s="50" t="str">
        <f>IF(ISBLANK(RECAPITULATIF!B258),"",RECAPITULATIF!B258)</f>
        <v/>
      </c>
      <c r="C249" s="50" t="str">
        <f>IF(ISBLANK(RECAPITULATIF!C258),"",RECAPITULATIF!C258)</f>
        <v/>
      </c>
      <c r="D249" s="73"/>
      <c r="E249" s="70"/>
      <c r="F249" s="70"/>
      <c r="G249" s="75"/>
      <c r="H249" s="74"/>
      <c r="I249" s="76"/>
      <c r="K249" s="70">
        <f>'MVMTS SORTIES &amp; FABRICATIONS'!F249</f>
        <v>0</v>
      </c>
      <c r="L249" s="70">
        <f>'MVMTS SORTIES &amp; FABRICATIONS'!E249</f>
        <v>0</v>
      </c>
    </row>
    <row r="250" spans="1:12" x14ac:dyDescent="0.2">
      <c r="A250" s="50" t="str">
        <f>IF(ISBLANK(RECAPITULATIF!A259),"",RECAPITULATIF!A259)</f>
        <v/>
      </c>
      <c r="B250" s="50" t="str">
        <f>IF(ISBLANK(RECAPITULATIF!B259),"",RECAPITULATIF!B259)</f>
        <v/>
      </c>
      <c r="C250" s="50" t="str">
        <f>IF(ISBLANK(RECAPITULATIF!C259),"",RECAPITULATIF!C259)</f>
        <v/>
      </c>
      <c r="D250" s="73"/>
      <c r="E250" s="70"/>
      <c r="F250" s="70"/>
      <c r="G250" s="75"/>
      <c r="H250" s="74"/>
      <c r="I250" s="76"/>
      <c r="K250" s="70">
        <f>'MVMTS SORTIES &amp; FABRICATIONS'!F250</f>
        <v>0</v>
      </c>
      <c r="L250" s="70">
        <f>'MVMTS SORTIES &amp; FABRICATIONS'!E250</f>
        <v>0</v>
      </c>
    </row>
    <row r="251" spans="1:12" x14ac:dyDescent="0.2">
      <c r="A251" s="50" t="str">
        <f>IF(ISBLANK(RECAPITULATIF!A260),"",RECAPITULATIF!A260)</f>
        <v/>
      </c>
      <c r="B251" s="50" t="str">
        <f>IF(ISBLANK(RECAPITULATIF!B260),"",RECAPITULATIF!B260)</f>
        <v/>
      </c>
      <c r="C251" s="50" t="str">
        <f>IF(ISBLANK(RECAPITULATIF!C260),"",RECAPITULATIF!C260)</f>
        <v/>
      </c>
      <c r="D251" s="73"/>
      <c r="E251" s="70"/>
      <c r="F251" s="70"/>
      <c r="G251" s="75"/>
      <c r="H251" s="74"/>
      <c r="I251" s="76"/>
      <c r="K251" s="70">
        <f>'MVMTS SORTIES &amp; FABRICATIONS'!F251</f>
        <v>0</v>
      </c>
      <c r="L251" s="70">
        <f>'MVMTS SORTIES &amp; FABRICATIONS'!E251</f>
        <v>0</v>
      </c>
    </row>
    <row r="252" spans="1:12" x14ac:dyDescent="0.2">
      <c r="A252" s="50" t="str">
        <f>IF(ISBLANK(RECAPITULATIF!A261),"",RECAPITULATIF!A261)</f>
        <v/>
      </c>
      <c r="B252" s="50" t="str">
        <f>IF(ISBLANK(RECAPITULATIF!B261),"",RECAPITULATIF!B261)</f>
        <v/>
      </c>
      <c r="C252" s="50" t="str">
        <f>IF(ISBLANK(RECAPITULATIF!C261),"",RECAPITULATIF!C261)</f>
        <v/>
      </c>
      <c r="D252" s="73"/>
      <c r="E252" s="70"/>
      <c r="F252" s="70"/>
      <c r="G252" s="75"/>
      <c r="H252" s="74"/>
      <c r="I252" s="76"/>
      <c r="K252" s="70">
        <f>'MVMTS SORTIES &amp; FABRICATIONS'!F252</f>
        <v>0</v>
      </c>
      <c r="L252" s="70">
        <f>'MVMTS SORTIES &amp; FABRICATIONS'!E252</f>
        <v>0</v>
      </c>
    </row>
    <row r="253" spans="1:12" x14ac:dyDescent="0.2">
      <c r="A253" s="50" t="str">
        <f>IF(ISBLANK(RECAPITULATIF!A262),"",RECAPITULATIF!A262)</f>
        <v/>
      </c>
      <c r="B253" s="50" t="str">
        <f>IF(ISBLANK(RECAPITULATIF!B262),"",RECAPITULATIF!B262)</f>
        <v/>
      </c>
      <c r="C253" s="50" t="str">
        <f>IF(ISBLANK(RECAPITULATIF!C262),"",RECAPITULATIF!C262)</f>
        <v/>
      </c>
      <c r="D253" s="73"/>
      <c r="E253" s="70"/>
      <c r="F253" s="70"/>
      <c r="G253" s="75"/>
      <c r="H253" s="74"/>
      <c r="I253" s="76"/>
      <c r="K253" s="70">
        <f>'MVMTS SORTIES &amp; FABRICATIONS'!F253</f>
        <v>0</v>
      </c>
      <c r="L253" s="70">
        <f>'MVMTS SORTIES &amp; FABRICATIONS'!E253</f>
        <v>0</v>
      </c>
    </row>
    <row r="254" spans="1:12" x14ac:dyDescent="0.2">
      <c r="A254" s="50" t="str">
        <f>IF(ISBLANK(RECAPITULATIF!A263),"",RECAPITULATIF!A263)</f>
        <v/>
      </c>
      <c r="B254" s="50" t="str">
        <f>IF(ISBLANK(RECAPITULATIF!B263),"",RECAPITULATIF!B263)</f>
        <v/>
      </c>
      <c r="C254" s="50" t="str">
        <f>IF(ISBLANK(RECAPITULATIF!C263),"",RECAPITULATIF!C263)</f>
        <v/>
      </c>
      <c r="D254" s="73"/>
      <c r="E254" s="70"/>
      <c r="F254" s="70"/>
      <c r="G254" s="75"/>
      <c r="H254" s="74"/>
      <c r="I254" s="76"/>
      <c r="K254" s="70">
        <f>'MVMTS SORTIES &amp; FABRICATIONS'!F254</f>
        <v>0</v>
      </c>
      <c r="L254" s="70">
        <f>'MVMTS SORTIES &amp; FABRICATIONS'!E254</f>
        <v>0</v>
      </c>
    </row>
    <row r="255" spans="1:12" x14ac:dyDescent="0.2">
      <c r="A255" s="50" t="str">
        <f>IF(ISBLANK(RECAPITULATIF!A264),"",RECAPITULATIF!A264)</f>
        <v/>
      </c>
      <c r="B255" s="50" t="str">
        <f>IF(ISBLANK(RECAPITULATIF!B264),"",RECAPITULATIF!B264)</f>
        <v/>
      </c>
      <c r="C255" s="50" t="str">
        <f>IF(ISBLANK(RECAPITULATIF!C264),"",RECAPITULATIF!C264)</f>
        <v/>
      </c>
      <c r="D255" s="73"/>
      <c r="E255" s="70"/>
      <c r="F255" s="70"/>
      <c r="G255" s="75"/>
      <c r="H255" s="74"/>
      <c r="I255" s="76"/>
      <c r="K255" s="70">
        <f>'MVMTS SORTIES &amp; FABRICATIONS'!F255</f>
        <v>0</v>
      </c>
      <c r="L255" s="70">
        <f>'MVMTS SORTIES &amp; FABRICATIONS'!E255</f>
        <v>0</v>
      </c>
    </row>
    <row r="256" spans="1:12" x14ac:dyDescent="0.2">
      <c r="A256" s="50" t="str">
        <f>IF(ISBLANK(RECAPITULATIF!A265),"",RECAPITULATIF!A265)</f>
        <v/>
      </c>
      <c r="B256" s="50" t="str">
        <f>IF(ISBLANK(RECAPITULATIF!B265),"",RECAPITULATIF!B265)</f>
        <v/>
      </c>
      <c r="C256" s="50" t="str">
        <f>IF(ISBLANK(RECAPITULATIF!C265),"",RECAPITULATIF!C265)</f>
        <v/>
      </c>
      <c r="D256" s="73"/>
      <c r="E256" s="70"/>
      <c r="F256" s="70"/>
      <c r="G256" s="75"/>
      <c r="H256" s="74"/>
      <c r="I256" s="76"/>
      <c r="K256" s="70">
        <f>'MVMTS SORTIES &amp; FABRICATIONS'!F256</f>
        <v>0</v>
      </c>
      <c r="L256" s="70">
        <f>'MVMTS SORTIES &amp; FABRICATIONS'!E256</f>
        <v>0</v>
      </c>
    </row>
    <row r="257" spans="1:12" x14ac:dyDescent="0.2">
      <c r="A257" s="50" t="str">
        <f>IF(ISBLANK(RECAPITULATIF!A266),"",RECAPITULATIF!A266)</f>
        <v/>
      </c>
      <c r="B257" s="50" t="str">
        <f>IF(ISBLANK(RECAPITULATIF!B266),"",RECAPITULATIF!B266)</f>
        <v/>
      </c>
      <c r="C257" s="50" t="str">
        <f>IF(ISBLANK(RECAPITULATIF!C266),"",RECAPITULATIF!C266)</f>
        <v/>
      </c>
      <c r="D257" s="73"/>
      <c r="E257" s="70"/>
      <c r="F257" s="70"/>
      <c r="G257" s="75"/>
      <c r="H257" s="74"/>
      <c r="I257" s="76"/>
      <c r="K257" s="70">
        <f>'MVMTS SORTIES &amp; FABRICATIONS'!F257</f>
        <v>0</v>
      </c>
      <c r="L257" s="70">
        <f>'MVMTS SORTIES &amp; FABRICATIONS'!E257</f>
        <v>0</v>
      </c>
    </row>
    <row r="258" spans="1:12" ht="16" thickBot="1" x14ac:dyDescent="0.25">
      <c r="A258" s="50" t="str">
        <f>IF(ISBLANK(RECAPITULATIF!A267),"",RECAPITULATIF!A267)</f>
        <v/>
      </c>
      <c r="B258" s="50" t="str">
        <f>IF(ISBLANK(RECAPITULATIF!B267),"",RECAPITULATIF!B267)</f>
        <v/>
      </c>
      <c r="C258" s="50" t="str">
        <f>IF(ISBLANK(RECAPITULATIF!C267),"",RECAPITULATIF!C267)</f>
        <v/>
      </c>
      <c r="D258" s="77"/>
      <c r="E258" s="70"/>
      <c r="F258" s="70"/>
      <c r="G258" s="79"/>
      <c r="H258" s="78"/>
      <c r="I258" s="80"/>
      <c r="K258" s="70">
        <f>'MVMTS SORTIES &amp; FABRICATIONS'!F258</f>
        <v>0</v>
      </c>
      <c r="L258" s="70">
        <f>'MVMTS SORTIES &amp; FABRICATIONS'!E258</f>
        <v>0</v>
      </c>
    </row>
    <row r="259" spans="1:12" x14ac:dyDescent="0.2">
      <c r="A259" s="6" t="s">
        <v>21</v>
      </c>
      <c r="B259" s="7"/>
      <c r="C259" s="7"/>
      <c r="D259" s="81">
        <f>SUM(D9:D258)</f>
        <v>0</v>
      </c>
      <c r="E259" s="82">
        <f t="shared" ref="E259:I259" si="0">SUM(E9:E258)</f>
        <v>0</v>
      </c>
      <c r="F259" s="82">
        <f t="shared" si="0"/>
        <v>0</v>
      </c>
      <c r="G259" s="83">
        <f t="shared" si="0"/>
        <v>0</v>
      </c>
      <c r="H259" s="82">
        <f t="shared" si="0"/>
        <v>0</v>
      </c>
      <c r="I259" s="84">
        <f t="shared" si="0"/>
        <v>0</v>
      </c>
      <c r="K259" s="82">
        <f t="shared" ref="K259:L259" si="1">SUM(K9:K258)</f>
        <v>0</v>
      </c>
      <c r="L259" s="82">
        <f t="shared" si="1"/>
        <v>0</v>
      </c>
    </row>
    <row r="260" spans="1:12" s="14" customFormat="1" ht="12" thickBot="1" x14ac:dyDescent="0.2">
      <c r="A260" s="9" t="s">
        <v>22</v>
      </c>
      <c r="B260" s="10"/>
      <c r="C260" s="10"/>
      <c r="D260" s="11" t="s">
        <v>23</v>
      </c>
      <c r="E260" s="22" t="s">
        <v>23</v>
      </c>
      <c r="F260" s="22" t="s">
        <v>23</v>
      </c>
      <c r="G260" s="23" t="s">
        <v>23</v>
      </c>
      <c r="H260" s="22" t="s">
        <v>23</v>
      </c>
      <c r="I260" s="13" t="s">
        <v>23</v>
      </c>
      <c r="K260" s="22" t="s">
        <v>23</v>
      </c>
      <c r="L260" s="22" t="s">
        <v>23</v>
      </c>
    </row>
    <row r="261" spans="1:12" ht="12" customHeight="1" x14ac:dyDescent="0.2">
      <c r="A261" s="45" t="s">
        <v>24</v>
      </c>
    </row>
    <row r="262" spans="1:12" ht="10.5" customHeight="1" x14ac:dyDescent="0.2">
      <c r="A262" s="45" t="s">
        <v>25</v>
      </c>
    </row>
  </sheetData>
  <mergeCells count="11">
    <mergeCell ref="K6:K7"/>
    <mergeCell ref="L6:L7"/>
    <mergeCell ref="G6:H6"/>
    <mergeCell ref="F6:F7"/>
    <mergeCell ref="E6:E7"/>
    <mergeCell ref="A5:I5"/>
    <mergeCell ref="A6:A8"/>
    <mergeCell ref="B6:B8"/>
    <mergeCell ref="C6:C8"/>
    <mergeCell ref="D6:D7"/>
    <mergeCell ref="I6:I7"/>
  </mergeCells>
  <conditionalFormatting sqref="E9:E258">
    <cfRule type="cellIs" dxfId="1" priority="2" operator="notEqual">
      <formula>L9</formula>
    </cfRule>
  </conditionalFormatting>
  <conditionalFormatting sqref="F259">
    <cfRule type="cellIs" dxfId="0" priority="1" operator="notEqual">
      <formula>$K$259</formula>
    </cfRule>
  </conditionalFormatting>
  <pageMargins left="0.19685039370078741" right="0.19685039370078741" top="0.19685039370078741" bottom="0.15748031496062992" header="0.19685039370078741" footer="0.15748031496062992"/>
  <pageSetup paperSize="9" orientation="portrait" r:id="rId1"/>
  <ignoredErrors>
    <ignoredError sqref="D259:I259" formulaRange="1"/>
    <ignoredError sqref="K9:K258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2"/>
  <sheetViews>
    <sheetView showGridLines="0" workbookViewId="0">
      <pane ySplit="2820" topLeftCell="A8" activePane="bottomLeft"/>
      <selection activeCell="G2" sqref="G2"/>
      <selection pane="bottomLeft" activeCell="H9" sqref="H9"/>
    </sheetView>
  </sheetViews>
  <sheetFormatPr baseColWidth="10" defaultRowHeight="15" x14ac:dyDescent="0.2"/>
  <cols>
    <col min="1" max="1" width="13.1640625" customWidth="1"/>
    <col min="2" max="3" width="5" customWidth="1"/>
    <col min="4" max="5" width="10.5" customWidth="1"/>
    <col min="6" max="6" width="10.33203125" customWidth="1"/>
    <col min="7" max="8" width="11.1640625" customWidth="1"/>
    <col min="9" max="10" width="10.5" customWidth="1"/>
  </cols>
  <sheetData>
    <row r="1" spans="1:10" ht="12.75" customHeight="1" x14ac:dyDescent="0.2">
      <c r="A1" s="8"/>
      <c r="B1" s="3"/>
      <c r="C1" s="3"/>
      <c r="E1" s="19" t="s">
        <v>19</v>
      </c>
      <c r="F1" s="19"/>
      <c r="G1" s="19">
        <f>RECAPITULATIF!H5</f>
        <v>0</v>
      </c>
      <c r="H1" s="19"/>
      <c r="I1" s="19"/>
      <c r="J1" s="19"/>
    </row>
    <row r="2" spans="1:10" ht="12.75" customHeight="1" x14ac:dyDescent="0.2">
      <c r="A2" s="8"/>
      <c r="B2" s="3"/>
      <c r="C2" s="3"/>
      <c r="E2" s="19" t="s">
        <v>20</v>
      </c>
      <c r="F2" s="19"/>
      <c r="G2" s="19">
        <f>RECAPITULATIF!F7</f>
        <v>0</v>
      </c>
      <c r="H2" s="19"/>
      <c r="I2" s="19"/>
      <c r="J2" s="19"/>
    </row>
    <row r="3" spans="1:10" x14ac:dyDescent="0.2">
      <c r="E3" s="19" t="s">
        <v>54</v>
      </c>
      <c r="F3" s="19"/>
      <c r="G3">
        <f>RECAPITULATIF!A8</f>
        <v>44197</v>
      </c>
      <c r="J3" s="29" t="s">
        <v>36</v>
      </c>
    </row>
    <row r="5" spans="1:10" ht="16" x14ac:dyDescent="0.2">
      <c r="A5" s="110" t="s">
        <v>34</v>
      </c>
      <c r="B5" s="110"/>
      <c r="C5" s="110"/>
      <c r="D5" s="110"/>
      <c r="E5" s="110"/>
      <c r="F5" s="110"/>
      <c r="G5" s="28"/>
      <c r="H5" s="28"/>
      <c r="I5" s="110" t="s">
        <v>38</v>
      </c>
      <c r="J5" s="110"/>
    </row>
    <row r="6" spans="1:10" ht="18" customHeight="1" x14ac:dyDescent="0.2">
      <c r="A6" s="120" t="s">
        <v>8</v>
      </c>
      <c r="B6" s="123" t="s">
        <v>9</v>
      </c>
      <c r="C6" s="126" t="s">
        <v>10</v>
      </c>
      <c r="D6" s="143" t="s">
        <v>37</v>
      </c>
      <c r="E6" s="139" t="s">
        <v>28</v>
      </c>
      <c r="F6" s="139" t="s">
        <v>29</v>
      </c>
      <c r="G6" s="141" t="s">
        <v>30</v>
      </c>
      <c r="H6" s="142"/>
      <c r="I6" s="139" t="s">
        <v>39</v>
      </c>
      <c r="J6" s="145" t="s">
        <v>40</v>
      </c>
    </row>
    <row r="7" spans="1:10" ht="22.5" customHeight="1" x14ac:dyDescent="0.2">
      <c r="A7" s="121"/>
      <c r="B7" s="124"/>
      <c r="C7" s="127"/>
      <c r="D7" s="144"/>
      <c r="E7" s="140"/>
      <c r="F7" s="140"/>
      <c r="G7" s="57" t="s">
        <v>31</v>
      </c>
      <c r="H7" s="27" t="s">
        <v>32</v>
      </c>
      <c r="I7" s="147"/>
      <c r="J7" s="146"/>
    </row>
    <row r="8" spans="1:10" ht="16" thickBot="1" x14ac:dyDescent="0.25">
      <c r="A8" s="122"/>
      <c r="B8" s="125"/>
      <c r="C8" s="128"/>
      <c r="D8" s="20">
        <v>10</v>
      </c>
      <c r="E8" s="21">
        <v>11</v>
      </c>
      <c r="F8" s="21">
        <v>12</v>
      </c>
      <c r="G8" s="46">
        <v>13</v>
      </c>
      <c r="H8" s="25">
        <v>14</v>
      </c>
      <c r="I8" s="25">
        <v>15</v>
      </c>
      <c r="J8" s="24">
        <v>16</v>
      </c>
    </row>
    <row r="9" spans="1:10" x14ac:dyDescent="0.2">
      <c r="A9" s="50" t="str">
        <f>IF(ISBLANK(RECAPITULATIF!A18),"",RECAPITULATIF!A18)</f>
        <v/>
      </c>
      <c r="B9" s="50" t="str">
        <f>IF(ISBLANK(RECAPITULATIF!B18),"",RECAPITULATIF!B18)</f>
        <v/>
      </c>
      <c r="C9" s="50" t="str">
        <f>IF(ISBLANK(RECAPITULATIF!C18),"",RECAPITULATIF!C18)</f>
        <v/>
      </c>
      <c r="D9" s="69"/>
      <c r="E9" s="70"/>
      <c r="F9" s="70"/>
      <c r="G9" s="71"/>
      <c r="H9" s="70"/>
      <c r="I9" s="70"/>
      <c r="J9" s="72"/>
    </row>
    <row r="10" spans="1:10" x14ac:dyDescent="0.2">
      <c r="A10" s="50" t="str">
        <f>IF(ISBLANK(RECAPITULATIF!A19),"",RECAPITULATIF!A19)</f>
        <v/>
      </c>
      <c r="B10" s="50" t="str">
        <f>IF(ISBLANK(RECAPITULATIF!B19),"",RECAPITULATIF!B19)</f>
        <v/>
      </c>
      <c r="C10" s="50" t="str">
        <f>IF(ISBLANK(RECAPITULATIF!C19),"",RECAPITULATIF!C19)</f>
        <v/>
      </c>
      <c r="D10" s="69"/>
      <c r="E10" s="70"/>
      <c r="F10" s="70"/>
      <c r="G10" s="71"/>
      <c r="H10" s="70"/>
      <c r="I10" s="70"/>
      <c r="J10" s="72"/>
    </row>
    <row r="11" spans="1:10" x14ac:dyDescent="0.2">
      <c r="A11" s="50" t="str">
        <f>IF(ISBLANK(RECAPITULATIF!A20),"",RECAPITULATIF!A20)</f>
        <v/>
      </c>
      <c r="B11" s="50" t="str">
        <f>IF(ISBLANK(RECAPITULATIF!B20),"",RECAPITULATIF!B20)</f>
        <v/>
      </c>
      <c r="C11" s="50" t="str">
        <f>IF(ISBLANK(RECAPITULATIF!C20),"",RECAPITULATIF!C20)</f>
        <v/>
      </c>
      <c r="D11" s="69"/>
      <c r="E11" s="70"/>
      <c r="F11" s="70"/>
      <c r="G11" s="71"/>
      <c r="H11" s="70"/>
      <c r="I11" s="70"/>
      <c r="J11" s="72"/>
    </row>
    <row r="12" spans="1:10" x14ac:dyDescent="0.2">
      <c r="A12" s="50" t="str">
        <f>IF(ISBLANK(RECAPITULATIF!A21),"",RECAPITULATIF!A21)</f>
        <v/>
      </c>
      <c r="B12" s="50" t="str">
        <f>IF(ISBLANK(RECAPITULATIF!B21),"",RECAPITULATIF!B21)</f>
        <v/>
      </c>
      <c r="C12" s="50" t="str">
        <f>IF(ISBLANK(RECAPITULATIF!C21),"",RECAPITULATIF!C21)</f>
        <v/>
      </c>
      <c r="D12" s="69"/>
      <c r="E12" s="70"/>
      <c r="F12" s="70"/>
      <c r="G12" s="71"/>
      <c r="H12" s="70"/>
      <c r="I12" s="70"/>
      <c r="J12" s="72"/>
    </row>
    <row r="13" spans="1:10" x14ac:dyDescent="0.2">
      <c r="A13" s="50" t="str">
        <f>IF(ISBLANK(RECAPITULATIF!A22),"",RECAPITULATIF!A22)</f>
        <v/>
      </c>
      <c r="B13" s="50" t="str">
        <f>IF(ISBLANK(RECAPITULATIF!B22),"",RECAPITULATIF!B22)</f>
        <v/>
      </c>
      <c r="C13" s="50" t="str">
        <f>IF(ISBLANK(RECAPITULATIF!C22),"",RECAPITULATIF!C22)</f>
        <v/>
      </c>
      <c r="D13" s="69"/>
      <c r="E13" s="70"/>
      <c r="F13" s="70"/>
      <c r="G13" s="71"/>
      <c r="H13" s="70"/>
      <c r="I13" s="70"/>
      <c r="J13" s="72"/>
    </row>
    <row r="14" spans="1:10" x14ac:dyDescent="0.2">
      <c r="A14" s="50" t="str">
        <f>IF(ISBLANK(RECAPITULATIF!A23),"",RECAPITULATIF!A23)</f>
        <v/>
      </c>
      <c r="B14" s="50" t="str">
        <f>IF(ISBLANK(RECAPITULATIF!B23),"",RECAPITULATIF!B23)</f>
        <v/>
      </c>
      <c r="C14" s="50" t="str">
        <f>IF(ISBLANK(RECAPITULATIF!C23),"",RECAPITULATIF!C23)</f>
        <v/>
      </c>
      <c r="D14" s="69"/>
      <c r="E14" s="70"/>
      <c r="F14" s="70"/>
      <c r="G14" s="71"/>
      <c r="H14" s="70"/>
      <c r="I14" s="70"/>
      <c r="J14" s="72"/>
    </row>
    <row r="15" spans="1:10" x14ac:dyDescent="0.2">
      <c r="A15" s="50" t="str">
        <f>IF(ISBLANK(RECAPITULATIF!A24),"",RECAPITULATIF!A24)</f>
        <v/>
      </c>
      <c r="B15" s="50" t="str">
        <f>IF(ISBLANK(RECAPITULATIF!B24),"",RECAPITULATIF!B24)</f>
        <v/>
      </c>
      <c r="C15" s="50" t="str">
        <f>IF(ISBLANK(RECAPITULATIF!C24),"",RECAPITULATIF!C24)</f>
        <v/>
      </c>
      <c r="D15" s="69"/>
      <c r="E15" s="70"/>
      <c r="F15" s="70"/>
      <c r="G15" s="71"/>
      <c r="H15" s="70"/>
      <c r="I15" s="70"/>
      <c r="J15" s="72"/>
    </row>
    <row r="16" spans="1:10" x14ac:dyDescent="0.2">
      <c r="A16" s="50" t="str">
        <f>IF(ISBLANK(RECAPITULATIF!A25),"",RECAPITULATIF!A25)</f>
        <v/>
      </c>
      <c r="B16" s="50" t="str">
        <f>IF(ISBLANK(RECAPITULATIF!B25),"",RECAPITULATIF!B25)</f>
        <v/>
      </c>
      <c r="C16" s="50" t="str">
        <f>IF(ISBLANK(RECAPITULATIF!C25),"",RECAPITULATIF!C25)</f>
        <v/>
      </c>
      <c r="D16" s="69"/>
      <c r="E16" s="70"/>
      <c r="F16" s="70"/>
      <c r="G16" s="71"/>
      <c r="H16" s="70"/>
      <c r="I16" s="70"/>
      <c r="J16" s="72"/>
    </row>
    <row r="17" spans="1:10" x14ac:dyDescent="0.2">
      <c r="A17" s="50" t="str">
        <f>IF(ISBLANK(RECAPITULATIF!A26),"",RECAPITULATIF!A26)</f>
        <v/>
      </c>
      <c r="B17" s="50" t="str">
        <f>IF(ISBLANK(RECAPITULATIF!B26),"",RECAPITULATIF!B26)</f>
        <v/>
      </c>
      <c r="C17" s="50" t="str">
        <f>IF(ISBLANK(RECAPITULATIF!C26),"",RECAPITULATIF!C26)</f>
        <v/>
      </c>
      <c r="D17" s="69"/>
      <c r="E17" s="70"/>
      <c r="F17" s="70"/>
      <c r="G17" s="71"/>
      <c r="H17" s="70"/>
      <c r="I17" s="70"/>
      <c r="J17" s="72"/>
    </row>
    <row r="18" spans="1:10" x14ac:dyDescent="0.2">
      <c r="A18" s="50" t="str">
        <f>IF(ISBLANK(RECAPITULATIF!A27),"",RECAPITULATIF!A27)</f>
        <v/>
      </c>
      <c r="B18" s="50" t="str">
        <f>IF(ISBLANK(RECAPITULATIF!B27),"",RECAPITULATIF!B27)</f>
        <v/>
      </c>
      <c r="C18" s="50" t="str">
        <f>IF(ISBLANK(RECAPITULATIF!C27),"",RECAPITULATIF!C27)</f>
        <v/>
      </c>
      <c r="D18" s="69"/>
      <c r="E18" s="70"/>
      <c r="F18" s="70"/>
      <c r="G18" s="71"/>
      <c r="H18" s="70"/>
      <c r="I18" s="70"/>
      <c r="J18" s="72"/>
    </row>
    <row r="19" spans="1:10" x14ac:dyDescent="0.2">
      <c r="A19" s="50" t="str">
        <f>IF(ISBLANK(RECAPITULATIF!A28),"",RECAPITULATIF!A28)</f>
        <v/>
      </c>
      <c r="B19" s="50" t="str">
        <f>IF(ISBLANK(RECAPITULATIF!B28),"",RECAPITULATIF!B28)</f>
        <v/>
      </c>
      <c r="C19" s="50" t="str">
        <f>IF(ISBLANK(RECAPITULATIF!C28),"",RECAPITULATIF!C28)</f>
        <v/>
      </c>
      <c r="D19" s="69"/>
      <c r="E19" s="70"/>
      <c r="F19" s="70"/>
      <c r="G19" s="71"/>
      <c r="H19" s="70"/>
      <c r="I19" s="70"/>
      <c r="J19" s="72"/>
    </row>
    <row r="20" spans="1:10" x14ac:dyDescent="0.2">
      <c r="A20" s="50" t="str">
        <f>IF(ISBLANK(RECAPITULATIF!A29),"",RECAPITULATIF!A29)</f>
        <v/>
      </c>
      <c r="B20" s="50" t="str">
        <f>IF(ISBLANK(RECAPITULATIF!B29),"",RECAPITULATIF!B29)</f>
        <v/>
      </c>
      <c r="C20" s="50" t="str">
        <f>IF(ISBLANK(RECAPITULATIF!C29),"",RECAPITULATIF!C29)</f>
        <v/>
      </c>
      <c r="D20" s="69"/>
      <c r="E20" s="70"/>
      <c r="F20" s="70"/>
      <c r="G20" s="71"/>
      <c r="H20" s="70"/>
      <c r="I20" s="70"/>
      <c r="J20" s="72"/>
    </row>
    <row r="21" spans="1:10" x14ac:dyDescent="0.2">
      <c r="A21" s="50" t="str">
        <f>IF(ISBLANK(RECAPITULATIF!A30),"",RECAPITULATIF!A30)</f>
        <v/>
      </c>
      <c r="B21" s="50" t="str">
        <f>IF(ISBLANK(RECAPITULATIF!B30),"",RECAPITULATIF!B30)</f>
        <v/>
      </c>
      <c r="C21" s="50" t="str">
        <f>IF(ISBLANK(RECAPITULATIF!C30),"",RECAPITULATIF!C30)</f>
        <v/>
      </c>
      <c r="D21" s="69"/>
      <c r="E21" s="70"/>
      <c r="F21" s="70"/>
      <c r="G21" s="71"/>
      <c r="H21" s="70"/>
      <c r="I21" s="70"/>
      <c r="J21" s="72"/>
    </row>
    <row r="22" spans="1:10" x14ac:dyDescent="0.2">
      <c r="A22" s="50" t="str">
        <f>IF(ISBLANK(RECAPITULATIF!A31),"",RECAPITULATIF!A31)</f>
        <v/>
      </c>
      <c r="B22" s="50" t="str">
        <f>IF(ISBLANK(RECAPITULATIF!B31),"",RECAPITULATIF!B31)</f>
        <v/>
      </c>
      <c r="C22" s="50" t="str">
        <f>IF(ISBLANK(RECAPITULATIF!C31),"",RECAPITULATIF!C31)</f>
        <v/>
      </c>
      <c r="D22" s="69"/>
      <c r="E22" s="70"/>
      <c r="F22" s="70"/>
      <c r="G22" s="71"/>
      <c r="H22" s="70"/>
      <c r="I22" s="70"/>
      <c r="J22" s="72"/>
    </row>
    <row r="23" spans="1:10" x14ac:dyDescent="0.2">
      <c r="A23" s="50" t="str">
        <f>IF(ISBLANK(RECAPITULATIF!A32),"",RECAPITULATIF!A32)</f>
        <v/>
      </c>
      <c r="B23" s="50" t="str">
        <f>IF(ISBLANK(RECAPITULATIF!B32),"",RECAPITULATIF!B32)</f>
        <v/>
      </c>
      <c r="C23" s="50" t="str">
        <f>IF(ISBLANK(RECAPITULATIF!C32),"",RECAPITULATIF!C32)</f>
        <v/>
      </c>
      <c r="D23" s="69"/>
      <c r="E23" s="70"/>
      <c r="F23" s="70"/>
      <c r="G23" s="71"/>
      <c r="H23" s="70"/>
      <c r="I23" s="70"/>
      <c r="J23" s="72"/>
    </row>
    <row r="24" spans="1:10" x14ac:dyDescent="0.2">
      <c r="A24" s="50" t="str">
        <f>IF(ISBLANK(RECAPITULATIF!A33),"",RECAPITULATIF!A33)</f>
        <v/>
      </c>
      <c r="B24" s="50" t="str">
        <f>IF(ISBLANK(RECAPITULATIF!B33),"",RECAPITULATIF!B33)</f>
        <v/>
      </c>
      <c r="C24" s="50" t="str">
        <f>IF(ISBLANK(RECAPITULATIF!C33),"",RECAPITULATIF!C33)</f>
        <v/>
      </c>
      <c r="D24" s="69"/>
      <c r="E24" s="70"/>
      <c r="F24" s="70"/>
      <c r="G24" s="71"/>
      <c r="H24" s="70"/>
      <c r="I24" s="70"/>
      <c r="J24" s="72"/>
    </row>
    <row r="25" spans="1:10" x14ac:dyDescent="0.2">
      <c r="A25" s="50" t="str">
        <f>IF(ISBLANK(RECAPITULATIF!A34),"",RECAPITULATIF!A34)</f>
        <v/>
      </c>
      <c r="B25" s="50" t="str">
        <f>IF(ISBLANK(RECAPITULATIF!B34),"",RECAPITULATIF!B34)</f>
        <v/>
      </c>
      <c r="C25" s="50" t="str">
        <f>IF(ISBLANK(RECAPITULATIF!C34),"",RECAPITULATIF!C34)</f>
        <v/>
      </c>
      <c r="D25" s="69"/>
      <c r="E25" s="70"/>
      <c r="F25" s="70"/>
      <c r="G25" s="71"/>
      <c r="H25" s="70"/>
      <c r="I25" s="70"/>
      <c r="J25" s="72"/>
    </row>
    <row r="26" spans="1:10" x14ac:dyDescent="0.2">
      <c r="A26" s="50" t="str">
        <f>IF(ISBLANK(RECAPITULATIF!A35),"",RECAPITULATIF!A35)</f>
        <v/>
      </c>
      <c r="B26" s="50" t="str">
        <f>IF(ISBLANK(RECAPITULATIF!B35),"",RECAPITULATIF!B35)</f>
        <v/>
      </c>
      <c r="C26" s="50" t="str">
        <f>IF(ISBLANK(RECAPITULATIF!C35),"",RECAPITULATIF!C35)</f>
        <v/>
      </c>
      <c r="D26" s="69"/>
      <c r="E26" s="70"/>
      <c r="F26" s="70"/>
      <c r="G26" s="71"/>
      <c r="H26" s="70"/>
      <c r="I26" s="70"/>
      <c r="J26" s="72"/>
    </row>
    <row r="27" spans="1:10" x14ac:dyDescent="0.2">
      <c r="A27" s="50" t="str">
        <f>IF(ISBLANK(RECAPITULATIF!A36),"",RECAPITULATIF!A36)</f>
        <v/>
      </c>
      <c r="B27" s="50" t="str">
        <f>IF(ISBLANK(RECAPITULATIF!B36),"",RECAPITULATIF!B36)</f>
        <v/>
      </c>
      <c r="C27" s="50" t="str">
        <f>IF(ISBLANK(RECAPITULATIF!C36),"",RECAPITULATIF!C36)</f>
        <v/>
      </c>
      <c r="D27" s="69"/>
      <c r="E27" s="70"/>
      <c r="F27" s="70"/>
      <c r="G27" s="71"/>
      <c r="H27" s="70"/>
      <c r="I27" s="70"/>
      <c r="J27" s="72"/>
    </row>
    <row r="28" spans="1:10" x14ac:dyDescent="0.2">
      <c r="A28" s="50" t="str">
        <f>IF(ISBLANK(RECAPITULATIF!A37),"",RECAPITULATIF!A37)</f>
        <v/>
      </c>
      <c r="B28" s="50" t="str">
        <f>IF(ISBLANK(RECAPITULATIF!B37),"",RECAPITULATIF!B37)</f>
        <v/>
      </c>
      <c r="C28" s="50" t="str">
        <f>IF(ISBLANK(RECAPITULATIF!C37),"",RECAPITULATIF!C37)</f>
        <v/>
      </c>
      <c r="D28" s="69"/>
      <c r="E28" s="70"/>
      <c r="F28" s="70"/>
      <c r="G28" s="71"/>
      <c r="H28" s="70"/>
      <c r="I28" s="70"/>
      <c r="J28" s="72"/>
    </row>
    <row r="29" spans="1:10" x14ac:dyDescent="0.2">
      <c r="A29" s="50" t="str">
        <f>IF(ISBLANK(RECAPITULATIF!A38),"",RECAPITULATIF!A38)</f>
        <v/>
      </c>
      <c r="B29" s="50" t="str">
        <f>IF(ISBLANK(RECAPITULATIF!B38),"",RECAPITULATIF!B38)</f>
        <v/>
      </c>
      <c r="C29" s="50" t="str">
        <f>IF(ISBLANK(RECAPITULATIF!C38),"",RECAPITULATIF!C38)</f>
        <v/>
      </c>
      <c r="D29" s="69"/>
      <c r="E29" s="70"/>
      <c r="F29" s="70"/>
      <c r="G29" s="71"/>
      <c r="H29" s="70"/>
      <c r="I29" s="70"/>
      <c r="J29" s="72"/>
    </row>
    <row r="30" spans="1:10" x14ac:dyDescent="0.2">
      <c r="A30" s="50" t="str">
        <f>IF(ISBLANK(RECAPITULATIF!A39),"",RECAPITULATIF!A39)</f>
        <v/>
      </c>
      <c r="B30" s="50" t="str">
        <f>IF(ISBLANK(RECAPITULATIF!B39),"",RECAPITULATIF!B39)</f>
        <v/>
      </c>
      <c r="C30" s="50" t="str">
        <f>IF(ISBLANK(RECAPITULATIF!C39),"",RECAPITULATIF!C39)</f>
        <v/>
      </c>
      <c r="D30" s="69"/>
      <c r="E30" s="70"/>
      <c r="F30" s="70"/>
      <c r="G30" s="71"/>
      <c r="H30" s="70"/>
      <c r="I30" s="70"/>
      <c r="J30" s="72"/>
    </row>
    <row r="31" spans="1:10" x14ac:dyDescent="0.2">
      <c r="A31" s="50" t="str">
        <f>IF(ISBLANK(RECAPITULATIF!A40),"",RECAPITULATIF!A40)</f>
        <v/>
      </c>
      <c r="B31" s="50" t="str">
        <f>IF(ISBLANK(RECAPITULATIF!B40),"",RECAPITULATIF!B40)</f>
        <v/>
      </c>
      <c r="C31" s="50" t="str">
        <f>IF(ISBLANK(RECAPITULATIF!C40),"",RECAPITULATIF!C40)</f>
        <v/>
      </c>
      <c r="D31" s="69"/>
      <c r="E31" s="70"/>
      <c r="F31" s="70"/>
      <c r="G31" s="71"/>
      <c r="H31" s="70"/>
      <c r="I31" s="70"/>
      <c r="J31" s="72"/>
    </row>
    <row r="32" spans="1:10" x14ac:dyDescent="0.2">
      <c r="A32" s="50" t="str">
        <f>IF(ISBLANK(RECAPITULATIF!A41),"",RECAPITULATIF!A41)</f>
        <v/>
      </c>
      <c r="B32" s="50" t="str">
        <f>IF(ISBLANK(RECAPITULATIF!B41),"",RECAPITULATIF!B41)</f>
        <v/>
      </c>
      <c r="C32" s="50" t="str">
        <f>IF(ISBLANK(RECAPITULATIF!C41),"",RECAPITULATIF!C41)</f>
        <v/>
      </c>
      <c r="D32" s="69"/>
      <c r="E32" s="70"/>
      <c r="F32" s="70"/>
      <c r="G32" s="71"/>
      <c r="H32" s="70"/>
      <c r="I32" s="70"/>
      <c r="J32" s="72"/>
    </row>
    <row r="33" spans="1:10" x14ac:dyDescent="0.2">
      <c r="A33" s="50" t="str">
        <f>IF(ISBLANK(RECAPITULATIF!A42),"",RECAPITULATIF!A42)</f>
        <v/>
      </c>
      <c r="B33" s="50" t="str">
        <f>IF(ISBLANK(RECAPITULATIF!B42),"",RECAPITULATIF!B42)</f>
        <v/>
      </c>
      <c r="C33" s="50" t="str">
        <f>IF(ISBLANK(RECAPITULATIF!C42),"",RECAPITULATIF!C42)</f>
        <v/>
      </c>
      <c r="D33" s="69"/>
      <c r="E33" s="70"/>
      <c r="F33" s="70"/>
      <c r="G33" s="71"/>
      <c r="H33" s="70"/>
      <c r="I33" s="70"/>
      <c r="J33" s="72"/>
    </row>
    <row r="34" spans="1:10" x14ac:dyDescent="0.2">
      <c r="A34" s="50" t="str">
        <f>IF(ISBLANK(RECAPITULATIF!A43),"",RECAPITULATIF!A43)</f>
        <v/>
      </c>
      <c r="B34" s="50" t="str">
        <f>IF(ISBLANK(RECAPITULATIF!B43),"",RECAPITULATIF!B43)</f>
        <v/>
      </c>
      <c r="C34" s="50" t="str">
        <f>IF(ISBLANK(RECAPITULATIF!C43),"",RECAPITULATIF!C43)</f>
        <v/>
      </c>
      <c r="D34" s="69"/>
      <c r="E34" s="70"/>
      <c r="F34" s="70"/>
      <c r="G34" s="71"/>
      <c r="H34" s="70"/>
      <c r="I34" s="70"/>
      <c r="J34" s="72"/>
    </row>
    <row r="35" spans="1:10" x14ac:dyDescent="0.2">
      <c r="A35" s="50" t="str">
        <f>IF(ISBLANK(RECAPITULATIF!A44),"",RECAPITULATIF!A44)</f>
        <v/>
      </c>
      <c r="B35" s="50" t="str">
        <f>IF(ISBLANK(RECAPITULATIF!B44),"",RECAPITULATIF!B44)</f>
        <v/>
      </c>
      <c r="C35" s="50" t="str">
        <f>IF(ISBLANK(RECAPITULATIF!C44),"",RECAPITULATIF!C44)</f>
        <v/>
      </c>
      <c r="D35" s="69"/>
      <c r="E35" s="70"/>
      <c r="F35" s="70"/>
      <c r="G35" s="71"/>
      <c r="H35" s="70"/>
      <c r="I35" s="70"/>
      <c r="J35" s="72"/>
    </row>
    <row r="36" spans="1:10" x14ac:dyDescent="0.2">
      <c r="A36" s="50" t="str">
        <f>IF(ISBLANK(RECAPITULATIF!A45),"",RECAPITULATIF!A45)</f>
        <v/>
      </c>
      <c r="B36" s="50" t="str">
        <f>IF(ISBLANK(RECAPITULATIF!B45),"",RECAPITULATIF!B45)</f>
        <v/>
      </c>
      <c r="C36" s="50" t="str">
        <f>IF(ISBLANK(RECAPITULATIF!C45),"",RECAPITULATIF!C45)</f>
        <v/>
      </c>
      <c r="D36" s="69"/>
      <c r="E36" s="70"/>
      <c r="F36" s="70"/>
      <c r="G36" s="71"/>
      <c r="H36" s="70"/>
      <c r="I36" s="70"/>
      <c r="J36" s="72"/>
    </row>
    <row r="37" spans="1:10" x14ac:dyDescent="0.2">
      <c r="A37" s="50" t="str">
        <f>IF(ISBLANK(RECAPITULATIF!A46),"",RECAPITULATIF!A46)</f>
        <v/>
      </c>
      <c r="B37" s="50" t="str">
        <f>IF(ISBLANK(RECAPITULATIF!B46),"",RECAPITULATIF!B46)</f>
        <v/>
      </c>
      <c r="C37" s="50" t="str">
        <f>IF(ISBLANK(RECAPITULATIF!C46),"",RECAPITULATIF!C46)</f>
        <v/>
      </c>
      <c r="D37" s="69"/>
      <c r="E37" s="70"/>
      <c r="F37" s="70"/>
      <c r="G37" s="71"/>
      <c r="H37" s="70"/>
      <c r="I37" s="70"/>
      <c r="J37" s="72"/>
    </row>
    <row r="38" spans="1:10" x14ac:dyDescent="0.2">
      <c r="A38" s="50" t="str">
        <f>IF(ISBLANK(RECAPITULATIF!A47),"",RECAPITULATIF!A47)</f>
        <v/>
      </c>
      <c r="B38" s="50" t="str">
        <f>IF(ISBLANK(RECAPITULATIF!B47),"",RECAPITULATIF!B47)</f>
        <v/>
      </c>
      <c r="C38" s="50" t="str">
        <f>IF(ISBLANK(RECAPITULATIF!C47),"",RECAPITULATIF!C47)</f>
        <v/>
      </c>
      <c r="D38" s="69"/>
      <c r="E38" s="70"/>
      <c r="F38" s="70"/>
      <c r="G38" s="71"/>
      <c r="H38" s="70"/>
      <c r="I38" s="70"/>
      <c r="J38" s="72"/>
    </row>
    <row r="39" spans="1:10" x14ac:dyDescent="0.2">
      <c r="A39" s="50" t="str">
        <f>IF(ISBLANK(RECAPITULATIF!A48),"",RECAPITULATIF!A48)</f>
        <v/>
      </c>
      <c r="B39" s="50" t="str">
        <f>IF(ISBLANK(RECAPITULATIF!B48),"",RECAPITULATIF!B48)</f>
        <v/>
      </c>
      <c r="C39" s="50" t="str">
        <f>IF(ISBLANK(RECAPITULATIF!C48),"",RECAPITULATIF!C48)</f>
        <v/>
      </c>
      <c r="D39" s="69"/>
      <c r="E39" s="70"/>
      <c r="F39" s="70"/>
      <c r="G39" s="71"/>
      <c r="H39" s="70"/>
      <c r="I39" s="70"/>
      <c r="J39" s="72"/>
    </row>
    <row r="40" spans="1:10" x14ac:dyDescent="0.2">
      <c r="A40" s="50" t="str">
        <f>IF(ISBLANK(RECAPITULATIF!A49),"",RECAPITULATIF!A49)</f>
        <v/>
      </c>
      <c r="B40" s="50" t="str">
        <f>IF(ISBLANK(RECAPITULATIF!B49),"",RECAPITULATIF!B49)</f>
        <v/>
      </c>
      <c r="C40" s="50" t="str">
        <f>IF(ISBLANK(RECAPITULATIF!C49),"",RECAPITULATIF!C49)</f>
        <v/>
      </c>
      <c r="D40" s="69"/>
      <c r="E40" s="70"/>
      <c r="F40" s="70"/>
      <c r="G40" s="71"/>
      <c r="H40" s="70"/>
      <c r="I40" s="70"/>
      <c r="J40" s="72"/>
    </row>
    <row r="41" spans="1:10" x14ac:dyDescent="0.2">
      <c r="A41" s="50" t="str">
        <f>IF(ISBLANK(RECAPITULATIF!A50),"",RECAPITULATIF!A50)</f>
        <v/>
      </c>
      <c r="B41" s="50" t="str">
        <f>IF(ISBLANK(RECAPITULATIF!B50),"",RECAPITULATIF!B50)</f>
        <v/>
      </c>
      <c r="C41" s="50" t="str">
        <f>IF(ISBLANK(RECAPITULATIF!C50),"",RECAPITULATIF!C50)</f>
        <v/>
      </c>
      <c r="D41" s="69"/>
      <c r="E41" s="70"/>
      <c r="F41" s="70"/>
      <c r="G41" s="71"/>
      <c r="H41" s="70"/>
      <c r="I41" s="70"/>
      <c r="J41" s="72"/>
    </row>
    <row r="42" spans="1:10" x14ac:dyDescent="0.2">
      <c r="A42" s="50" t="str">
        <f>IF(ISBLANK(RECAPITULATIF!A51),"",RECAPITULATIF!A51)</f>
        <v/>
      </c>
      <c r="B42" s="50" t="str">
        <f>IF(ISBLANK(RECAPITULATIF!B51),"",RECAPITULATIF!B51)</f>
        <v/>
      </c>
      <c r="C42" s="50" t="str">
        <f>IF(ISBLANK(RECAPITULATIF!C51),"",RECAPITULATIF!C51)</f>
        <v/>
      </c>
      <c r="D42" s="69"/>
      <c r="E42" s="70"/>
      <c r="F42" s="70"/>
      <c r="G42" s="71"/>
      <c r="H42" s="70"/>
      <c r="I42" s="70"/>
      <c r="J42" s="72"/>
    </row>
    <row r="43" spans="1:10" x14ac:dyDescent="0.2">
      <c r="A43" s="50" t="str">
        <f>IF(ISBLANK(RECAPITULATIF!A52),"",RECAPITULATIF!A52)</f>
        <v/>
      </c>
      <c r="B43" s="50" t="str">
        <f>IF(ISBLANK(RECAPITULATIF!B52),"",RECAPITULATIF!B52)</f>
        <v/>
      </c>
      <c r="C43" s="50" t="str">
        <f>IF(ISBLANK(RECAPITULATIF!C52),"",RECAPITULATIF!C52)</f>
        <v/>
      </c>
      <c r="D43" s="69"/>
      <c r="E43" s="70"/>
      <c r="F43" s="70"/>
      <c r="G43" s="71"/>
      <c r="H43" s="70"/>
      <c r="I43" s="70"/>
      <c r="J43" s="72"/>
    </row>
    <row r="44" spans="1:10" x14ac:dyDescent="0.2">
      <c r="A44" s="50" t="str">
        <f>IF(ISBLANK(RECAPITULATIF!A53),"",RECAPITULATIF!A53)</f>
        <v/>
      </c>
      <c r="B44" s="50" t="str">
        <f>IF(ISBLANK(RECAPITULATIF!B53),"",RECAPITULATIF!B53)</f>
        <v/>
      </c>
      <c r="C44" s="50" t="str">
        <f>IF(ISBLANK(RECAPITULATIF!C53),"",RECAPITULATIF!C53)</f>
        <v/>
      </c>
      <c r="D44" s="69"/>
      <c r="E44" s="70"/>
      <c r="F44" s="70"/>
      <c r="G44" s="71"/>
      <c r="H44" s="70"/>
      <c r="I44" s="70"/>
      <c r="J44" s="72"/>
    </row>
    <row r="45" spans="1:10" x14ac:dyDescent="0.2">
      <c r="A45" s="50" t="str">
        <f>IF(ISBLANK(RECAPITULATIF!A54),"",RECAPITULATIF!A54)</f>
        <v/>
      </c>
      <c r="B45" s="50" t="str">
        <f>IF(ISBLANK(RECAPITULATIF!B54),"",RECAPITULATIF!B54)</f>
        <v/>
      </c>
      <c r="C45" s="50" t="str">
        <f>IF(ISBLANK(RECAPITULATIF!C54),"",RECAPITULATIF!C54)</f>
        <v/>
      </c>
      <c r="D45" s="69"/>
      <c r="E45" s="70"/>
      <c r="F45" s="70"/>
      <c r="G45" s="71"/>
      <c r="H45" s="70"/>
      <c r="I45" s="70"/>
      <c r="J45" s="72"/>
    </row>
    <row r="46" spans="1:10" x14ac:dyDescent="0.2">
      <c r="A46" s="50" t="str">
        <f>IF(ISBLANK(RECAPITULATIF!A55),"",RECAPITULATIF!A55)</f>
        <v/>
      </c>
      <c r="B46" s="50" t="str">
        <f>IF(ISBLANK(RECAPITULATIF!B55),"",RECAPITULATIF!B55)</f>
        <v/>
      </c>
      <c r="C46" s="50" t="str">
        <f>IF(ISBLANK(RECAPITULATIF!C55),"",RECAPITULATIF!C55)</f>
        <v/>
      </c>
      <c r="D46" s="69"/>
      <c r="E46" s="70"/>
      <c r="F46" s="70"/>
      <c r="G46" s="71"/>
      <c r="H46" s="70"/>
      <c r="I46" s="70"/>
      <c r="J46" s="72"/>
    </row>
    <row r="47" spans="1:10" x14ac:dyDescent="0.2">
      <c r="A47" s="50" t="str">
        <f>IF(ISBLANK(RECAPITULATIF!A56),"",RECAPITULATIF!A56)</f>
        <v/>
      </c>
      <c r="B47" s="50" t="str">
        <f>IF(ISBLANK(RECAPITULATIF!B56),"",RECAPITULATIF!B56)</f>
        <v/>
      </c>
      <c r="C47" s="50" t="str">
        <f>IF(ISBLANK(RECAPITULATIF!C56),"",RECAPITULATIF!C56)</f>
        <v/>
      </c>
      <c r="D47" s="69"/>
      <c r="E47" s="70"/>
      <c r="F47" s="70"/>
      <c r="G47" s="71"/>
      <c r="H47" s="70"/>
      <c r="I47" s="70"/>
      <c r="J47" s="72"/>
    </row>
    <row r="48" spans="1:10" x14ac:dyDescent="0.2">
      <c r="A48" s="50" t="str">
        <f>IF(ISBLANK(RECAPITULATIF!A57),"",RECAPITULATIF!A57)</f>
        <v/>
      </c>
      <c r="B48" s="50" t="str">
        <f>IF(ISBLANK(RECAPITULATIF!B57),"",RECAPITULATIF!B57)</f>
        <v/>
      </c>
      <c r="C48" s="50" t="str">
        <f>IF(ISBLANK(RECAPITULATIF!C57),"",RECAPITULATIF!C57)</f>
        <v/>
      </c>
      <c r="D48" s="69"/>
      <c r="E48" s="70"/>
      <c r="F48" s="70"/>
      <c r="G48" s="71"/>
      <c r="H48" s="70"/>
      <c r="I48" s="70"/>
      <c r="J48" s="72"/>
    </row>
    <row r="49" spans="1:10" x14ac:dyDescent="0.2">
      <c r="A49" s="50" t="str">
        <f>IF(ISBLANK(RECAPITULATIF!A58),"",RECAPITULATIF!A58)</f>
        <v/>
      </c>
      <c r="B49" s="50" t="str">
        <f>IF(ISBLANK(RECAPITULATIF!B58),"",RECAPITULATIF!B58)</f>
        <v/>
      </c>
      <c r="C49" s="50" t="str">
        <f>IF(ISBLANK(RECAPITULATIF!C58),"",RECAPITULATIF!C58)</f>
        <v/>
      </c>
      <c r="D49" s="69"/>
      <c r="E49" s="70"/>
      <c r="F49" s="70"/>
      <c r="G49" s="71"/>
      <c r="H49" s="70"/>
      <c r="I49" s="70"/>
      <c r="J49" s="72"/>
    </row>
    <row r="50" spans="1:10" x14ac:dyDescent="0.2">
      <c r="A50" s="50" t="str">
        <f>IF(ISBLANK(RECAPITULATIF!A59),"",RECAPITULATIF!A59)</f>
        <v/>
      </c>
      <c r="B50" s="50" t="str">
        <f>IF(ISBLANK(RECAPITULATIF!B59),"",RECAPITULATIF!B59)</f>
        <v/>
      </c>
      <c r="C50" s="50" t="str">
        <f>IF(ISBLANK(RECAPITULATIF!C59),"",RECAPITULATIF!C59)</f>
        <v/>
      </c>
      <c r="D50" s="69"/>
      <c r="E50" s="70"/>
      <c r="F50" s="70"/>
      <c r="G50" s="71"/>
      <c r="H50" s="70"/>
      <c r="I50" s="70"/>
      <c r="J50" s="72"/>
    </row>
    <row r="51" spans="1:10" x14ac:dyDescent="0.2">
      <c r="A51" s="50" t="str">
        <f>IF(ISBLANK(RECAPITULATIF!A60),"",RECAPITULATIF!A60)</f>
        <v/>
      </c>
      <c r="B51" s="50" t="str">
        <f>IF(ISBLANK(RECAPITULATIF!B60),"",RECAPITULATIF!B60)</f>
        <v/>
      </c>
      <c r="C51" s="50" t="str">
        <f>IF(ISBLANK(RECAPITULATIF!C60),"",RECAPITULATIF!C60)</f>
        <v/>
      </c>
      <c r="D51" s="69"/>
      <c r="E51" s="70"/>
      <c r="F51" s="70"/>
      <c r="G51" s="71"/>
      <c r="H51" s="70"/>
      <c r="I51" s="70"/>
      <c r="J51" s="72"/>
    </row>
    <row r="52" spans="1:10" x14ac:dyDescent="0.2">
      <c r="A52" s="50" t="str">
        <f>IF(ISBLANK(RECAPITULATIF!A61),"",RECAPITULATIF!A61)</f>
        <v/>
      </c>
      <c r="B52" s="50" t="str">
        <f>IF(ISBLANK(RECAPITULATIF!B61),"",RECAPITULATIF!B61)</f>
        <v/>
      </c>
      <c r="C52" s="50" t="str">
        <f>IF(ISBLANK(RECAPITULATIF!C61),"",RECAPITULATIF!C61)</f>
        <v/>
      </c>
      <c r="D52" s="69"/>
      <c r="E52" s="70"/>
      <c r="F52" s="70"/>
      <c r="G52" s="71"/>
      <c r="H52" s="70"/>
      <c r="I52" s="70"/>
      <c r="J52" s="72"/>
    </row>
    <row r="53" spans="1:10" x14ac:dyDescent="0.2">
      <c r="A53" s="50" t="str">
        <f>IF(ISBLANK(RECAPITULATIF!A62),"",RECAPITULATIF!A62)</f>
        <v/>
      </c>
      <c r="B53" s="50" t="str">
        <f>IF(ISBLANK(RECAPITULATIF!B62),"",RECAPITULATIF!B62)</f>
        <v/>
      </c>
      <c r="C53" s="50" t="str">
        <f>IF(ISBLANK(RECAPITULATIF!C62),"",RECAPITULATIF!C62)</f>
        <v/>
      </c>
      <c r="D53" s="69"/>
      <c r="E53" s="70"/>
      <c r="F53" s="70"/>
      <c r="G53" s="71"/>
      <c r="H53" s="70"/>
      <c r="I53" s="70"/>
      <c r="J53" s="72"/>
    </row>
    <row r="54" spans="1:10" x14ac:dyDescent="0.2">
      <c r="A54" s="50" t="str">
        <f>IF(ISBLANK(RECAPITULATIF!A63),"",RECAPITULATIF!A63)</f>
        <v/>
      </c>
      <c r="B54" s="50" t="str">
        <f>IF(ISBLANK(RECAPITULATIF!B63),"",RECAPITULATIF!B63)</f>
        <v/>
      </c>
      <c r="C54" s="50" t="str">
        <f>IF(ISBLANK(RECAPITULATIF!C63),"",RECAPITULATIF!C63)</f>
        <v/>
      </c>
      <c r="D54" s="69"/>
      <c r="E54" s="70"/>
      <c r="F54" s="70"/>
      <c r="G54" s="71"/>
      <c r="H54" s="70"/>
      <c r="I54" s="70"/>
      <c r="J54" s="72"/>
    </row>
    <row r="55" spans="1:10" x14ac:dyDescent="0.2">
      <c r="A55" s="50" t="str">
        <f>IF(ISBLANK(RECAPITULATIF!A64),"",RECAPITULATIF!A64)</f>
        <v/>
      </c>
      <c r="B55" s="50" t="str">
        <f>IF(ISBLANK(RECAPITULATIF!B64),"",RECAPITULATIF!B64)</f>
        <v/>
      </c>
      <c r="C55" s="50" t="str">
        <f>IF(ISBLANK(RECAPITULATIF!C64),"",RECAPITULATIF!C64)</f>
        <v/>
      </c>
      <c r="D55" s="69"/>
      <c r="E55" s="70"/>
      <c r="F55" s="70"/>
      <c r="G55" s="71"/>
      <c r="H55" s="70"/>
      <c r="I55" s="70"/>
      <c r="J55" s="72"/>
    </row>
    <row r="56" spans="1:10" x14ac:dyDescent="0.2">
      <c r="A56" s="50" t="str">
        <f>IF(ISBLANK(RECAPITULATIF!A65),"",RECAPITULATIF!A65)</f>
        <v/>
      </c>
      <c r="B56" s="50" t="str">
        <f>IF(ISBLANK(RECAPITULATIF!B65),"",RECAPITULATIF!B65)</f>
        <v/>
      </c>
      <c r="C56" s="50" t="str">
        <f>IF(ISBLANK(RECAPITULATIF!C65),"",RECAPITULATIF!C65)</f>
        <v/>
      </c>
      <c r="D56" s="69"/>
      <c r="E56" s="70"/>
      <c r="F56" s="70"/>
      <c r="G56" s="71"/>
      <c r="H56" s="70"/>
      <c r="I56" s="70"/>
      <c r="J56" s="72"/>
    </row>
    <row r="57" spans="1:10" x14ac:dyDescent="0.2">
      <c r="A57" s="50" t="str">
        <f>IF(ISBLANK(RECAPITULATIF!A66),"",RECAPITULATIF!A66)</f>
        <v/>
      </c>
      <c r="B57" s="50" t="str">
        <f>IF(ISBLANK(RECAPITULATIF!B66),"",RECAPITULATIF!B66)</f>
        <v/>
      </c>
      <c r="C57" s="50" t="str">
        <f>IF(ISBLANK(RECAPITULATIF!C66),"",RECAPITULATIF!C66)</f>
        <v/>
      </c>
      <c r="D57" s="69"/>
      <c r="E57" s="70"/>
      <c r="F57" s="70"/>
      <c r="G57" s="71"/>
      <c r="H57" s="70"/>
      <c r="I57" s="70"/>
      <c r="J57" s="72"/>
    </row>
    <row r="58" spans="1:10" x14ac:dyDescent="0.2">
      <c r="A58" s="50" t="str">
        <f>IF(ISBLANK(RECAPITULATIF!A67),"",RECAPITULATIF!A67)</f>
        <v/>
      </c>
      <c r="B58" s="50" t="str">
        <f>IF(ISBLANK(RECAPITULATIF!B67),"",RECAPITULATIF!B67)</f>
        <v/>
      </c>
      <c r="C58" s="50" t="str">
        <f>IF(ISBLANK(RECAPITULATIF!C67),"",RECAPITULATIF!C67)</f>
        <v/>
      </c>
      <c r="D58" s="69"/>
      <c r="E58" s="70"/>
      <c r="F58" s="70"/>
      <c r="G58" s="71"/>
      <c r="H58" s="70"/>
      <c r="I58" s="70"/>
      <c r="J58" s="72"/>
    </row>
    <row r="59" spans="1:10" x14ac:dyDescent="0.2">
      <c r="A59" s="50" t="str">
        <f>IF(ISBLANK(RECAPITULATIF!A68),"",RECAPITULATIF!A68)</f>
        <v/>
      </c>
      <c r="B59" s="50" t="str">
        <f>IF(ISBLANK(RECAPITULATIF!B68),"",RECAPITULATIF!B68)</f>
        <v/>
      </c>
      <c r="C59" s="50" t="str">
        <f>IF(ISBLANK(RECAPITULATIF!C68),"",RECAPITULATIF!C68)</f>
        <v/>
      </c>
      <c r="D59" s="69"/>
      <c r="E59" s="70"/>
      <c r="F59" s="70"/>
      <c r="G59" s="71"/>
      <c r="H59" s="70"/>
      <c r="I59" s="70"/>
      <c r="J59" s="72"/>
    </row>
    <row r="60" spans="1:10" x14ac:dyDescent="0.2">
      <c r="A60" s="50" t="str">
        <f>IF(ISBLANK(RECAPITULATIF!A69),"",RECAPITULATIF!A69)</f>
        <v/>
      </c>
      <c r="B60" s="50" t="str">
        <f>IF(ISBLANK(RECAPITULATIF!B69),"",RECAPITULATIF!B69)</f>
        <v/>
      </c>
      <c r="C60" s="50" t="str">
        <f>IF(ISBLANK(RECAPITULATIF!C69),"",RECAPITULATIF!C69)</f>
        <v/>
      </c>
      <c r="D60" s="69"/>
      <c r="E60" s="70"/>
      <c r="F60" s="70"/>
      <c r="G60" s="71"/>
      <c r="H60" s="70"/>
      <c r="I60" s="70"/>
      <c r="J60" s="72"/>
    </row>
    <row r="61" spans="1:10" x14ac:dyDescent="0.2">
      <c r="A61" s="50" t="str">
        <f>IF(ISBLANK(RECAPITULATIF!A70),"",RECAPITULATIF!A70)</f>
        <v/>
      </c>
      <c r="B61" s="50" t="str">
        <f>IF(ISBLANK(RECAPITULATIF!B70),"",RECAPITULATIF!B70)</f>
        <v/>
      </c>
      <c r="C61" s="50" t="str">
        <f>IF(ISBLANK(RECAPITULATIF!C70),"",RECAPITULATIF!C70)</f>
        <v/>
      </c>
      <c r="D61" s="69"/>
      <c r="E61" s="70"/>
      <c r="F61" s="70"/>
      <c r="G61" s="71"/>
      <c r="H61" s="70"/>
      <c r="I61" s="70"/>
      <c r="J61" s="72"/>
    </row>
    <row r="62" spans="1:10" x14ac:dyDescent="0.2">
      <c r="A62" s="50" t="str">
        <f>IF(ISBLANK(RECAPITULATIF!A71),"",RECAPITULATIF!A71)</f>
        <v/>
      </c>
      <c r="B62" s="50" t="str">
        <f>IF(ISBLANK(RECAPITULATIF!B71),"",RECAPITULATIF!B71)</f>
        <v/>
      </c>
      <c r="C62" s="50" t="str">
        <f>IF(ISBLANK(RECAPITULATIF!C71),"",RECAPITULATIF!C71)</f>
        <v/>
      </c>
      <c r="D62" s="69"/>
      <c r="E62" s="70"/>
      <c r="F62" s="70"/>
      <c r="G62" s="71"/>
      <c r="H62" s="70"/>
      <c r="I62" s="70"/>
      <c r="J62" s="72"/>
    </row>
    <row r="63" spans="1:10" x14ac:dyDescent="0.2">
      <c r="A63" s="50" t="str">
        <f>IF(ISBLANK(RECAPITULATIF!A72),"",RECAPITULATIF!A72)</f>
        <v/>
      </c>
      <c r="B63" s="50" t="str">
        <f>IF(ISBLANK(RECAPITULATIF!B72),"",RECAPITULATIF!B72)</f>
        <v/>
      </c>
      <c r="C63" s="50" t="str">
        <f>IF(ISBLANK(RECAPITULATIF!C72),"",RECAPITULATIF!C72)</f>
        <v/>
      </c>
      <c r="D63" s="69"/>
      <c r="E63" s="70"/>
      <c r="F63" s="70"/>
      <c r="G63" s="71"/>
      <c r="H63" s="70"/>
      <c r="I63" s="70"/>
      <c r="J63" s="72"/>
    </row>
    <row r="64" spans="1:10" x14ac:dyDescent="0.2">
      <c r="A64" s="50" t="str">
        <f>IF(ISBLANK(RECAPITULATIF!A73),"",RECAPITULATIF!A73)</f>
        <v/>
      </c>
      <c r="B64" s="50" t="str">
        <f>IF(ISBLANK(RECAPITULATIF!B73),"",RECAPITULATIF!B73)</f>
        <v/>
      </c>
      <c r="C64" s="50" t="str">
        <f>IF(ISBLANK(RECAPITULATIF!C73),"",RECAPITULATIF!C73)</f>
        <v/>
      </c>
      <c r="D64" s="69"/>
      <c r="E64" s="70"/>
      <c r="F64" s="70"/>
      <c r="G64" s="71"/>
      <c r="H64" s="70"/>
      <c r="I64" s="70"/>
      <c r="J64" s="72"/>
    </row>
    <row r="65" spans="1:10" x14ac:dyDescent="0.2">
      <c r="A65" s="50" t="str">
        <f>IF(ISBLANK(RECAPITULATIF!A74),"",RECAPITULATIF!A74)</f>
        <v/>
      </c>
      <c r="B65" s="50" t="str">
        <f>IF(ISBLANK(RECAPITULATIF!B74),"",RECAPITULATIF!B74)</f>
        <v/>
      </c>
      <c r="C65" s="50" t="str">
        <f>IF(ISBLANK(RECAPITULATIF!C74),"",RECAPITULATIF!C74)</f>
        <v/>
      </c>
      <c r="D65" s="69"/>
      <c r="E65" s="70"/>
      <c r="F65" s="70"/>
      <c r="G65" s="71"/>
      <c r="H65" s="70"/>
      <c r="I65" s="70"/>
      <c r="J65" s="72"/>
    </row>
    <row r="66" spans="1:10" x14ac:dyDescent="0.2">
      <c r="A66" s="50" t="str">
        <f>IF(ISBLANK(RECAPITULATIF!A75),"",RECAPITULATIF!A75)</f>
        <v/>
      </c>
      <c r="B66" s="50" t="str">
        <f>IF(ISBLANK(RECAPITULATIF!B75),"",RECAPITULATIF!B75)</f>
        <v/>
      </c>
      <c r="C66" s="50" t="str">
        <f>IF(ISBLANK(RECAPITULATIF!C75),"",RECAPITULATIF!C75)</f>
        <v/>
      </c>
      <c r="D66" s="69"/>
      <c r="E66" s="70"/>
      <c r="F66" s="70"/>
      <c r="G66" s="71"/>
      <c r="H66" s="70"/>
      <c r="I66" s="70"/>
      <c r="J66" s="72"/>
    </row>
    <row r="67" spans="1:10" x14ac:dyDescent="0.2">
      <c r="A67" s="50" t="str">
        <f>IF(ISBLANK(RECAPITULATIF!A76),"",RECAPITULATIF!A76)</f>
        <v/>
      </c>
      <c r="B67" s="50" t="str">
        <f>IF(ISBLANK(RECAPITULATIF!B76),"",RECAPITULATIF!B76)</f>
        <v/>
      </c>
      <c r="C67" s="50" t="str">
        <f>IF(ISBLANK(RECAPITULATIF!C76),"",RECAPITULATIF!C76)</f>
        <v/>
      </c>
      <c r="D67" s="69"/>
      <c r="E67" s="70"/>
      <c r="F67" s="70"/>
      <c r="G67" s="71"/>
      <c r="H67" s="70"/>
      <c r="I67" s="70"/>
      <c r="J67" s="72"/>
    </row>
    <row r="68" spans="1:10" x14ac:dyDescent="0.2">
      <c r="A68" s="50" t="str">
        <f>IF(ISBLANK(RECAPITULATIF!A77),"",RECAPITULATIF!A77)</f>
        <v/>
      </c>
      <c r="B68" s="50" t="str">
        <f>IF(ISBLANK(RECAPITULATIF!B77),"",RECAPITULATIF!B77)</f>
        <v/>
      </c>
      <c r="C68" s="50" t="str">
        <f>IF(ISBLANK(RECAPITULATIF!C77),"",RECAPITULATIF!C77)</f>
        <v/>
      </c>
      <c r="D68" s="69"/>
      <c r="E68" s="70"/>
      <c r="F68" s="70"/>
      <c r="G68" s="71"/>
      <c r="H68" s="70"/>
      <c r="I68" s="70"/>
      <c r="J68" s="72"/>
    </row>
    <row r="69" spans="1:10" x14ac:dyDescent="0.2">
      <c r="A69" s="50" t="str">
        <f>IF(ISBLANK(RECAPITULATIF!A78),"",RECAPITULATIF!A78)</f>
        <v/>
      </c>
      <c r="B69" s="50" t="str">
        <f>IF(ISBLANK(RECAPITULATIF!B78),"",RECAPITULATIF!B78)</f>
        <v/>
      </c>
      <c r="C69" s="50" t="str">
        <f>IF(ISBLANK(RECAPITULATIF!C78),"",RECAPITULATIF!C78)</f>
        <v/>
      </c>
      <c r="D69" s="69"/>
      <c r="E69" s="70"/>
      <c r="F69" s="70"/>
      <c r="G69" s="71"/>
      <c r="H69" s="70"/>
      <c r="I69" s="70"/>
      <c r="J69" s="72"/>
    </row>
    <row r="70" spans="1:10" x14ac:dyDescent="0.2">
      <c r="A70" s="50" t="str">
        <f>IF(ISBLANK(RECAPITULATIF!A79),"",RECAPITULATIF!A79)</f>
        <v/>
      </c>
      <c r="B70" s="50" t="str">
        <f>IF(ISBLANK(RECAPITULATIF!B79),"",RECAPITULATIF!B79)</f>
        <v/>
      </c>
      <c r="C70" s="50" t="str">
        <f>IF(ISBLANK(RECAPITULATIF!C79),"",RECAPITULATIF!C79)</f>
        <v/>
      </c>
      <c r="D70" s="69"/>
      <c r="E70" s="70"/>
      <c r="F70" s="70"/>
      <c r="G70" s="71"/>
      <c r="H70" s="70"/>
      <c r="I70" s="70"/>
      <c r="J70" s="72"/>
    </row>
    <row r="71" spans="1:10" x14ac:dyDescent="0.2">
      <c r="A71" s="50" t="str">
        <f>IF(ISBLANK(RECAPITULATIF!A80),"",RECAPITULATIF!A80)</f>
        <v/>
      </c>
      <c r="B71" s="50" t="str">
        <f>IF(ISBLANK(RECAPITULATIF!B80),"",RECAPITULATIF!B80)</f>
        <v/>
      </c>
      <c r="C71" s="50" t="str">
        <f>IF(ISBLANK(RECAPITULATIF!C80),"",RECAPITULATIF!C80)</f>
        <v/>
      </c>
      <c r="D71" s="69"/>
      <c r="E71" s="70"/>
      <c r="F71" s="70"/>
      <c r="G71" s="71"/>
      <c r="H71" s="70"/>
      <c r="I71" s="70"/>
      <c r="J71" s="72"/>
    </row>
    <row r="72" spans="1:10" x14ac:dyDescent="0.2">
      <c r="A72" s="50" t="str">
        <f>IF(ISBLANK(RECAPITULATIF!A81),"",RECAPITULATIF!A81)</f>
        <v/>
      </c>
      <c r="B72" s="50" t="str">
        <f>IF(ISBLANK(RECAPITULATIF!B81),"",RECAPITULATIF!B81)</f>
        <v/>
      </c>
      <c r="C72" s="50" t="str">
        <f>IF(ISBLANK(RECAPITULATIF!C81),"",RECAPITULATIF!C81)</f>
        <v/>
      </c>
      <c r="D72" s="69"/>
      <c r="E72" s="70"/>
      <c r="F72" s="70"/>
      <c r="G72" s="71"/>
      <c r="H72" s="70"/>
      <c r="I72" s="70"/>
      <c r="J72" s="72"/>
    </row>
    <row r="73" spans="1:10" x14ac:dyDescent="0.2">
      <c r="A73" s="50" t="str">
        <f>IF(ISBLANK(RECAPITULATIF!A82),"",RECAPITULATIF!A82)</f>
        <v/>
      </c>
      <c r="B73" s="50" t="str">
        <f>IF(ISBLANK(RECAPITULATIF!B82),"",RECAPITULATIF!B82)</f>
        <v/>
      </c>
      <c r="C73" s="50" t="str">
        <f>IF(ISBLANK(RECAPITULATIF!C82),"",RECAPITULATIF!C82)</f>
        <v/>
      </c>
      <c r="D73" s="69"/>
      <c r="E73" s="70"/>
      <c r="F73" s="70"/>
      <c r="G73" s="71"/>
      <c r="H73" s="70"/>
      <c r="I73" s="70"/>
      <c r="J73" s="72"/>
    </row>
    <row r="74" spans="1:10" x14ac:dyDescent="0.2">
      <c r="A74" s="50" t="str">
        <f>IF(ISBLANK(RECAPITULATIF!A83),"",RECAPITULATIF!A83)</f>
        <v/>
      </c>
      <c r="B74" s="50" t="str">
        <f>IF(ISBLANK(RECAPITULATIF!B83),"",RECAPITULATIF!B83)</f>
        <v/>
      </c>
      <c r="C74" s="50" t="str">
        <f>IF(ISBLANK(RECAPITULATIF!C83),"",RECAPITULATIF!C83)</f>
        <v/>
      </c>
      <c r="D74" s="69"/>
      <c r="E74" s="70"/>
      <c r="F74" s="70"/>
      <c r="G74" s="71"/>
      <c r="H74" s="70"/>
      <c r="I74" s="70"/>
      <c r="J74" s="72"/>
    </row>
    <row r="75" spans="1:10" x14ac:dyDescent="0.2">
      <c r="A75" s="50" t="str">
        <f>IF(ISBLANK(RECAPITULATIF!A84),"",RECAPITULATIF!A84)</f>
        <v/>
      </c>
      <c r="B75" s="50" t="str">
        <f>IF(ISBLANK(RECAPITULATIF!B84),"",RECAPITULATIF!B84)</f>
        <v/>
      </c>
      <c r="C75" s="50" t="str">
        <f>IF(ISBLANK(RECAPITULATIF!C84),"",RECAPITULATIF!C84)</f>
        <v/>
      </c>
      <c r="D75" s="69"/>
      <c r="E75" s="70"/>
      <c r="F75" s="70"/>
      <c r="G75" s="71"/>
      <c r="H75" s="70"/>
      <c r="I75" s="70"/>
      <c r="J75" s="72"/>
    </row>
    <row r="76" spans="1:10" x14ac:dyDescent="0.2">
      <c r="A76" s="50" t="str">
        <f>IF(ISBLANK(RECAPITULATIF!A85),"",RECAPITULATIF!A85)</f>
        <v/>
      </c>
      <c r="B76" s="50" t="str">
        <f>IF(ISBLANK(RECAPITULATIF!B85),"",RECAPITULATIF!B85)</f>
        <v/>
      </c>
      <c r="C76" s="50" t="str">
        <f>IF(ISBLANK(RECAPITULATIF!C85),"",RECAPITULATIF!C85)</f>
        <v/>
      </c>
      <c r="D76" s="69"/>
      <c r="E76" s="70"/>
      <c r="F76" s="70"/>
      <c r="G76" s="71"/>
      <c r="H76" s="70"/>
      <c r="I76" s="70"/>
      <c r="J76" s="72"/>
    </row>
    <row r="77" spans="1:10" x14ac:dyDescent="0.2">
      <c r="A77" s="50" t="str">
        <f>IF(ISBLANK(RECAPITULATIF!A86),"",RECAPITULATIF!A86)</f>
        <v/>
      </c>
      <c r="B77" s="50" t="str">
        <f>IF(ISBLANK(RECAPITULATIF!B86),"",RECAPITULATIF!B86)</f>
        <v/>
      </c>
      <c r="C77" s="50" t="str">
        <f>IF(ISBLANK(RECAPITULATIF!C86),"",RECAPITULATIF!C86)</f>
        <v/>
      </c>
      <c r="D77" s="69"/>
      <c r="E77" s="70"/>
      <c r="F77" s="70"/>
      <c r="G77" s="71"/>
      <c r="H77" s="70"/>
      <c r="I77" s="70"/>
      <c r="J77" s="72"/>
    </row>
    <row r="78" spans="1:10" x14ac:dyDescent="0.2">
      <c r="A78" s="50" t="str">
        <f>IF(ISBLANK(RECAPITULATIF!A87),"",RECAPITULATIF!A87)</f>
        <v/>
      </c>
      <c r="B78" s="50" t="str">
        <f>IF(ISBLANK(RECAPITULATIF!B87),"",RECAPITULATIF!B87)</f>
        <v/>
      </c>
      <c r="C78" s="50" t="str">
        <f>IF(ISBLANK(RECAPITULATIF!C87),"",RECAPITULATIF!C87)</f>
        <v/>
      </c>
      <c r="D78" s="69"/>
      <c r="E78" s="70"/>
      <c r="F78" s="70"/>
      <c r="G78" s="71"/>
      <c r="H78" s="70"/>
      <c r="I78" s="70"/>
      <c r="J78" s="72"/>
    </row>
    <row r="79" spans="1:10" x14ac:dyDescent="0.2">
      <c r="A79" s="50" t="str">
        <f>IF(ISBLANK(RECAPITULATIF!A88),"",RECAPITULATIF!A88)</f>
        <v/>
      </c>
      <c r="B79" s="50" t="str">
        <f>IF(ISBLANK(RECAPITULATIF!B88),"",RECAPITULATIF!B88)</f>
        <v/>
      </c>
      <c r="C79" s="50" t="str">
        <f>IF(ISBLANK(RECAPITULATIF!C88),"",RECAPITULATIF!C88)</f>
        <v/>
      </c>
      <c r="D79" s="69"/>
      <c r="E79" s="70"/>
      <c r="F79" s="70"/>
      <c r="G79" s="71"/>
      <c r="H79" s="70"/>
      <c r="I79" s="70"/>
      <c r="J79" s="72"/>
    </row>
    <row r="80" spans="1:10" x14ac:dyDescent="0.2">
      <c r="A80" s="50" t="str">
        <f>IF(ISBLANK(RECAPITULATIF!A89),"",RECAPITULATIF!A89)</f>
        <v/>
      </c>
      <c r="B80" s="50" t="str">
        <f>IF(ISBLANK(RECAPITULATIF!B89),"",RECAPITULATIF!B89)</f>
        <v/>
      </c>
      <c r="C80" s="50" t="str">
        <f>IF(ISBLANK(RECAPITULATIF!C89),"",RECAPITULATIF!C89)</f>
        <v/>
      </c>
      <c r="D80" s="69"/>
      <c r="E80" s="70"/>
      <c r="F80" s="70"/>
      <c r="G80" s="71"/>
      <c r="H80" s="70"/>
      <c r="I80" s="70"/>
      <c r="J80" s="72"/>
    </row>
    <row r="81" spans="1:10" x14ac:dyDescent="0.2">
      <c r="A81" s="50" t="str">
        <f>IF(ISBLANK(RECAPITULATIF!A90),"",RECAPITULATIF!A90)</f>
        <v/>
      </c>
      <c r="B81" s="50" t="str">
        <f>IF(ISBLANK(RECAPITULATIF!B90),"",RECAPITULATIF!B90)</f>
        <v/>
      </c>
      <c r="C81" s="50" t="str">
        <f>IF(ISBLANK(RECAPITULATIF!C90),"",RECAPITULATIF!C90)</f>
        <v/>
      </c>
      <c r="D81" s="69"/>
      <c r="E81" s="70"/>
      <c r="F81" s="70"/>
      <c r="G81" s="71"/>
      <c r="H81" s="70"/>
      <c r="I81" s="70"/>
      <c r="J81" s="72"/>
    </row>
    <row r="82" spans="1:10" x14ac:dyDescent="0.2">
      <c r="A82" s="50" t="str">
        <f>IF(ISBLANK(RECAPITULATIF!A91),"",RECAPITULATIF!A91)</f>
        <v/>
      </c>
      <c r="B82" s="50" t="str">
        <f>IF(ISBLANK(RECAPITULATIF!B91),"",RECAPITULATIF!B91)</f>
        <v/>
      </c>
      <c r="C82" s="50" t="str">
        <f>IF(ISBLANK(RECAPITULATIF!C91),"",RECAPITULATIF!C91)</f>
        <v/>
      </c>
      <c r="D82" s="69"/>
      <c r="E82" s="70"/>
      <c r="F82" s="70"/>
      <c r="G82" s="71"/>
      <c r="H82" s="70"/>
      <c r="I82" s="70"/>
      <c r="J82" s="72"/>
    </row>
    <row r="83" spans="1:10" x14ac:dyDescent="0.2">
      <c r="A83" s="50" t="str">
        <f>IF(ISBLANK(RECAPITULATIF!A92),"",RECAPITULATIF!A92)</f>
        <v/>
      </c>
      <c r="B83" s="50" t="str">
        <f>IF(ISBLANK(RECAPITULATIF!B92),"",RECAPITULATIF!B92)</f>
        <v/>
      </c>
      <c r="C83" s="50" t="str">
        <f>IF(ISBLANK(RECAPITULATIF!C92),"",RECAPITULATIF!C92)</f>
        <v/>
      </c>
      <c r="D83" s="69"/>
      <c r="E83" s="70"/>
      <c r="F83" s="70"/>
      <c r="G83" s="71"/>
      <c r="H83" s="70"/>
      <c r="I83" s="70"/>
      <c r="J83" s="72"/>
    </row>
    <row r="84" spans="1:10" x14ac:dyDescent="0.2">
      <c r="A84" s="50" t="str">
        <f>IF(ISBLANK(RECAPITULATIF!A93),"",RECAPITULATIF!A93)</f>
        <v/>
      </c>
      <c r="B84" s="50" t="str">
        <f>IF(ISBLANK(RECAPITULATIF!B93),"",RECAPITULATIF!B93)</f>
        <v/>
      </c>
      <c r="C84" s="50" t="str">
        <f>IF(ISBLANK(RECAPITULATIF!C93),"",RECAPITULATIF!C93)</f>
        <v/>
      </c>
      <c r="D84" s="69"/>
      <c r="E84" s="70"/>
      <c r="F84" s="70"/>
      <c r="G84" s="71"/>
      <c r="H84" s="70"/>
      <c r="I84" s="70"/>
      <c r="J84" s="72"/>
    </row>
    <row r="85" spans="1:10" x14ac:dyDescent="0.2">
      <c r="A85" s="50" t="str">
        <f>IF(ISBLANK(RECAPITULATIF!A94),"",RECAPITULATIF!A94)</f>
        <v/>
      </c>
      <c r="B85" s="50" t="str">
        <f>IF(ISBLANK(RECAPITULATIF!B94),"",RECAPITULATIF!B94)</f>
        <v/>
      </c>
      <c r="C85" s="50" t="str">
        <f>IF(ISBLANK(RECAPITULATIF!C94),"",RECAPITULATIF!C94)</f>
        <v/>
      </c>
      <c r="D85" s="69"/>
      <c r="E85" s="70"/>
      <c r="F85" s="70"/>
      <c r="G85" s="71"/>
      <c r="H85" s="70"/>
      <c r="I85" s="70"/>
      <c r="J85" s="72"/>
    </row>
    <row r="86" spans="1:10" x14ac:dyDescent="0.2">
      <c r="A86" s="50" t="str">
        <f>IF(ISBLANK(RECAPITULATIF!A95),"",RECAPITULATIF!A95)</f>
        <v/>
      </c>
      <c r="B86" s="50" t="str">
        <f>IF(ISBLANK(RECAPITULATIF!B95),"",RECAPITULATIF!B95)</f>
        <v/>
      </c>
      <c r="C86" s="50" t="str">
        <f>IF(ISBLANK(RECAPITULATIF!C95),"",RECAPITULATIF!C95)</f>
        <v/>
      </c>
      <c r="D86" s="69"/>
      <c r="E86" s="70"/>
      <c r="F86" s="70"/>
      <c r="G86" s="71"/>
      <c r="H86" s="70"/>
      <c r="I86" s="70"/>
      <c r="J86" s="72"/>
    </row>
    <row r="87" spans="1:10" x14ac:dyDescent="0.2">
      <c r="A87" s="50" t="str">
        <f>IF(ISBLANK(RECAPITULATIF!A96),"",RECAPITULATIF!A96)</f>
        <v/>
      </c>
      <c r="B87" s="50" t="str">
        <f>IF(ISBLANK(RECAPITULATIF!B96),"",RECAPITULATIF!B96)</f>
        <v/>
      </c>
      <c r="C87" s="50" t="str">
        <f>IF(ISBLANK(RECAPITULATIF!C96),"",RECAPITULATIF!C96)</f>
        <v/>
      </c>
      <c r="D87" s="69"/>
      <c r="E87" s="70"/>
      <c r="F87" s="70"/>
      <c r="G87" s="71"/>
      <c r="H87" s="70"/>
      <c r="I87" s="70"/>
      <c r="J87" s="72"/>
    </row>
    <row r="88" spans="1:10" x14ac:dyDescent="0.2">
      <c r="A88" s="50" t="str">
        <f>IF(ISBLANK(RECAPITULATIF!A97),"",RECAPITULATIF!A97)</f>
        <v/>
      </c>
      <c r="B88" s="50" t="str">
        <f>IF(ISBLANK(RECAPITULATIF!B97),"",RECAPITULATIF!B97)</f>
        <v/>
      </c>
      <c r="C88" s="50" t="str">
        <f>IF(ISBLANK(RECAPITULATIF!C97),"",RECAPITULATIF!C97)</f>
        <v/>
      </c>
      <c r="D88" s="69"/>
      <c r="E88" s="70"/>
      <c r="F88" s="70"/>
      <c r="G88" s="71"/>
      <c r="H88" s="70"/>
      <c r="I88" s="70"/>
      <c r="J88" s="72"/>
    </row>
    <row r="89" spans="1:10" x14ac:dyDescent="0.2">
      <c r="A89" s="50" t="str">
        <f>IF(ISBLANK(RECAPITULATIF!A98),"",RECAPITULATIF!A98)</f>
        <v/>
      </c>
      <c r="B89" s="50" t="str">
        <f>IF(ISBLANK(RECAPITULATIF!B98),"",RECAPITULATIF!B98)</f>
        <v/>
      </c>
      <c r="C89" s="50" t="str">
        <f>IF(ISBLANK(RECAPITULATIF!C98),"",RECAPITULATIF!C98)</f>
        <v/>
      </c>
      <c r="D89" s="69"/>
      <c r="E89" s="70"/>
      <c r="F89" s="70"/>
      <c r="G89" s="71"/>
      <c r="H89" s="70"/>
      <c r="I89" s="70"/>
      <c r="J89" s="72"/>
    </row>
    <row r="90" spans="1:10" x14ac:dyDescent="0.2">
      <c r="A90" s="50" t="str">
        <f>IF(ISBLANK(RECAPITULATIF!A99),"",RECAPITULATIF!A99)</f>
        <v/>
      </c>
      <c r="B90" s="50" t="str">
        <f>IF(ISBLANK(RECAPITULATIF!B99),"",RECAPITULATIF!B99)</f>
        <v/>
      </c>
      <c r="C90" s="50" t="str">
        <f>IF(ISBLANK(RECAPITULATIF!C99),"",RECAPITULATIF!C99)</f>
        <v/>
      </c>
      <c r="D90" s="69"/>
      <c r="E90" s="70"/>
      <c r="F90" s="70"/>
      <c r="G90" s="71"/>
      <c r="H90" s="70"/>
      <c r="I90" s="70"/>
      <c r="J90" s="72"/>
    </row>
    <row r="91" spans="1:10" x14ac:dyDescent="0.2">
      <c r="A91" s="50" t="str">
        <f>IF(ISBLANK(RECAPITULATIF!A100),"",RECAPITULATIF!A100)</f>
        <v/>
      </c>
      <c r="B91" s="50" t="str">
        <f>IF(ISBLANK(RECAPITULATIF!B100),"",RECAPITULATIF!B100)</f>
        <v/>
      </c>
      <c r="C91" s="50" t="str">
        <f>IF(ISBLANK(RECAPITULATIF!C100),"",RECAPITULATIF!C100)</f>
        <v/>
      </c>
      <c r="D91" s="69"/>
      <c r="E91" s="70"/>
      <c r="F91" s="70"/>
      <c r="G91" s="71"/>
      <c r="H91" s="70"/>
      <c r="I91" s="70"/>
      <c r="J91" s="72"/>
    </row>
    <row r="92" spans="1:10" x14ac:dyDescent="0.2">
      <c r="A92" s="50" t="str">
        <f>IF(ISBLANK(RECAPITULATIF!A101),"",RECAPITULATIF!A101)</f>
        <v/>
      </c>
      <c r="B92" s="50" t="str">
        <f>IF(ISBLANK(RECAPITULATIF!B101),"",RECAPITULATIF!B101)</f>
        <v/>
      </c>
      <c r="C92" s="50" t="str">
        <f>IF(ISBLANK(RECAPITULATIF!C101),"",RECAPITULATIF!C101)</f>
        <v/>
      </c>
      <c r="D92" s="69"/>
      <c r="E92" s="70"/>
      <c r="F92" s="70"/>
      <c r="G92" s="71"/>
      <c r="H92" s="70"/>
      <c r="I92" s="70"/>
      <c r="J92" s="72"/>
    </row>
    <row r="93" spans="1:10" x14ac:dyDescent="0.2">
      <c r="A93" s="50" t="str">
        <f>IF(ISBLANK(RECAPITULATIF!A102),"",RECAPITULATIF!A102)</f>
        <v/>
      </c>
      <c r="B93" s="50" t="str">
        <f>IF(ISBLANK(RECAPITULATIF!B102),"",RECAPITULATIF!B102)</f>
        <v/>
      </c>
      <c r="C93" s="50" t="str">
        <f>IF(ISBLANK(RECAPITULATIF!C102),"",RECAPITULATIF!C102)</f>
        <v/>
      </c>
      <c r="D93" s="69"/>
      <c r="E93" s="70"/>
      <c r="F93" s="70"/>
      <c r="G93" s="71"/>
      <c r="H93" s="70"/>
      <c r="I93" s="70"/>
      <c r="J93" s="72"/>
    </row>
    <row r="94" spans="1:10" x14ac:dyDescent="0.2">
      <c r="A94" s="50" t="str">
        <f>IF(ISBLANK(RECAPITULATIF!A103),"",RECAPITULATIF!A103)</f>
        <v/>
      </c>
      <c r="B94" s="50" t="str">
        <f>IF(ISBLANK(RECAPITULATIF!B103),"",RECAPITULATIF!B103)</f>
        <v/>
      </c>
      <c r="C94" s="50" t="str">
        <f>IF(ISBLANK(RECAPITULATIF!C103),"",RECAPITULATIF!C103)</f>
        <v/>
      </c>
      <c r="D94" s="69"/>
      <c r="E94" s="70"/>
      <c r="F94" s="70"/>
      <c r="G94" s="71"/>
      <c r="H94" s="70"/>
      <c r="I94" s="70"/>
      <c r="J94" s="72"/>
    </row>
    <row r="95" spans="1:10" x14ac:dyDescent="0.2">
      <c r="A95" s="50" t="str">
        <f>IF(ISBLANK(RECAPITULATIF!A104),"",RECAPITULATIF!A104)</f>
        <v/>
      </c>
      <c r="B95" s="50" t="str">
        <f>IF(ISBLANK(RECAPITULATIF!B104),"",RECAPITULATIF!B104)</f>
        <v/>
      </c>
      <c r="C95" s="50" t="str">
        <f>IF(ISBLANK(RECAPITULATIF!C104),"",RECAPITULATIF!C104)</f>
        <v/>
      </c>
      <c r="D95" s="69"/>
      <c r="E95" s="70"/>
      <c r="F95" s="70"/>
      <c r="G95" s="71"/>
      <c r="H95" s="70"/>
      <c r="I95" s="70"/>
      <c r="J95" s="72"/>
    </row>
    <row r="96" spans="1:10" x14ac:dyDescent="0.2">
      <c r="A96" s="50" t="str">
        <f>IF(ISBLANK(RECAPITULATIF!A105),"",RECAPITULATIF!A105)</f>
        <v/>
      </c>
      <c r="B96" s="50" t="str">
        <f>IF(ISBLANK(RECAPITULATIF!B105),"",RECAPITULATIF!B105)</f>
        <v/>
      </c>
      <c r="C96" s="50" t="str">
        <f>IF(ISBLANK(RECAPITULATIF!C105),"",RECAPITULATIF!C105)</f>
        <v/>
      </c>
      <c r="D96" s="69"/>
      <c r="E96" s="70"/>
      <c r="F96" s="70"/>
      <c r="G96" s="71"/>
      <c r="H96" s="70"/>
      <c r="I96" s="70"/>
      <c r="J96" s="72"/>
    </row>
    <row r="97" spans="1:10" x14ac:dyDescent="0.2">
      <c r="A97" s="50" t="str">
        <f>IF(ISBLANK(RECAPITULATIF!A106),"",RECAPITULATIF!A106)</f>
        <v/>
      </c>
      <c r="B97" s="50" t="str">
        <f>IF(ISBLANK(RECAPITULATIF!B106),"",RECAPITULATIF!B106)</f>
        <v/>
      </c>
      <c r="C97" s="50" t="str">
        <f>IF(ISBLANK(RECAPITULATIF!C106),"",RECAPITULATIF!C106)</f>
        <v/>
      </c>
      <c r="D97" s="69"/>
      <c r="E97" s="70"/>
      <c r="F97" s="70"/>
      <c r="G97" s="71"/>
      <c r="H97" s="70"/>
      <c r="I97" s="70"/>
      <c r="J97" s="72"/>
    </row>
    <row r="98" spans="1:10" x14ac:dyDescent="0.2">
      <c r="A98" s="50" t="str">
        <f>IF(ISBLANK(RECAPITULATIF!A107),"",RECAPITULATIF!A107)</f>
        <v/>
      </c>
      <c r="B98" s="50" t="str">
        <f>IF(ISBLANK(RECAPITULATIF!B107),"",RECAPITULATIF!B107)</f>
        <v/>
      </c>
      <c r="C98" s="50" t="str">
        <f>IF(ISBLANK(RECAPITULATIF!C107),"",RECAPITULATIF!C107)</f>
        <v/>
      </c>
      <c r="D98" s="69"/>
      <c r="E98" s="70"/>
      <c r="F98" s="70"/>
      <c r="G98" s="71"/>
      <c r="H98" s="70"/>
      <c r="I98" s="70"/>
      <c r="J98" s="72"/>
    </row>
    <row r="99" spans="1:10" x14ac:dyDescent="0.2">
      <c r="A99" s="50" t="str">
        <f>IF(ISBLANK(RECAPITULATIF!A108),"",RECAPITULATIF!A108)</f>
        <v/>
      </c>
      <c r="B99" s="50" t="str">
        <f>IF(ISBLANK(RECAPITULATIF!B108),"",RECAPITULATIF!B108)</f>
        <v/>
      </c>
      <c r="C99" s="50" t="str">
        <f>IF(ISBLANK(RECAPITULATIF!C108),"",RECAPITULATIF!C108)</f>
        <v/>
      </c>
      <c r="D99" s="69"/>
      <c r="E99" s="70"/>
      <c r="F99" s="70"/>
      <c r="G99" s="71"/>
      <c r="H99" s="70"/>
      <c r="I99" s="70"/>
      <c r="J99" s="72"/>
    </row>
    <row r="100" spans="1:10" x14ac:dyDescent="0.2">
      <c r="A100" s="50" t="str">
        <f>IF(ISBLANK(RECAPITULATIF!A109),"",RECAPITULATIF!A109)</f>
        <v/>
      </c>
      <c r="B100" s="50" t="str">
        <f>IF(ISBLANK(RECAPITULATIF!B109),"",RECAPITULATIF!B109)</f>
        <v/>
      </c>
      <c r="C100" s="50" t="str">
        <f>IF(ISBLANK(RECAPITULATIF!C109),"",RECAPITULATIF!C109)</f>
        <v/>
      </c>
      <c r="D100" s="69"/>
      <c r="E100" s="70"/>
      <c r="F100" s="70"/>
      <c r="G100" s="71"/>
      <c r="H100" s="70"/>
      <c r="I100" s="70"/>
      <c r="J100" s="72"/>
    </row>
    <row r="101" spans="1:10" x14ac:dyDescent="0.2">
      <c r="A101" s="50" t="str">
        <f>IF(ISBLANK(RECAPITULATIF!A110),"",RECAPITULATIF!A110)</f>
        <v/>
      </c>
      <c r="B101" s="50" t="str">
        <f>IF(ISBLANK(RECAPITULATIF!B110),"",RECAPITULATIF!B110)</f>
        <v/>
      </c>
      <c r="C101" s="50" t="str">
        <f>IF(ISBLANK(RECAPITULATIF!C110),"",RECAPITULATIF!C110)</f>
        <v/>
      </c>
      <c r="D101" s="69"/>
      <c r="E101" s="70"/>
      <c r="F101" s="70"/>
      <c r="G101" s="71"/>
      <c r="H101" s="70"/>
      <c r="I101" s="70"/>
      <c r="J101" s="72"/>
    </row>
    <row r="102" spans="1:10" x14ac:dyDescent="0.2">
      <c r="A102" s="50" t="str">
        <f>IF(ISBLANK(RECAPITULATIF!A111),"",RECAPITULATIF!A111)</f>
        <v/>
      </c>
      <c r="B102" s="50" t="str">
        <f>IF(ISBLANK(RECAPITULATIF!B111),"",RECAPITULATIF!B111)</f>
        <v/>
      </c>
      <c r="C102" s="50" t="str">
        <f>IF(ISBLANK(RECAPITULATIF!C111),"",RECAPITULATIF!C111)</f>
        <v/>
      </c>
      <c r="D102" s="69"/>
      <c r="E102" s="70"/>
      <c r="F102" s="70"/>
      <c r="G102" s="71"/>
      <c r="H102" s="70"/>
      <c r="I102" s="70"/>
      <c r="J102" s="72"/>
    </row>
    <row r="103" spans="1:10" x14ac:dyDescent="0.2">
      <c r="A103" s="50" t="str">
        <f>IF(ISBLANK(RECAPITULATIF!A112),"",RECAPITULATIF!A112)</f>
        <v/>
      </c>
      <c r="B103" s="50" t="str">
        <f>IF(ISBLANK(RECAPITULATIF!B112),"",RECAPITULATIF!B112)</f>
        <v/>
      </c>
      <c r="C103" s="50" t="str">
        <f>IF(ISBLANK(RECAPITULATIF!C112),"",RECAPITULATIF!C112)</f>
        <v/>
      </c>
      <c r="D103" s="69"/>
      <c r="E103" s="70"/>
      <c r="F103" s="70"/>
      <c r="G103" s="71"/>
      <c r="H103" s="70"/>
      <c r="I103" s="70"/>
      <c r="J103" s="72"/>
    </row>
    <row r="104" spans="1:10" x14ac:dyDescent="0.2">
      <c r="A104" s="50" t="str">
        <f>IF(ISBLANK(RECAPITULATIF!A113),"",RECAPITULATIF!A113)</f>
        <v/>
      </c>
      <c r="B104" s="50" t="str">
        <f>IF(ISBLANK(RECAPITULATIF!B113),"",RECAPITULATIF!B113)</f>
        <v/>
      </c>
      <c r="C104" s="50" t="str">
        <f>IF(ISBLANK(RECAPITULATIF!C113),"",RECAPITULATIF!C113)</f>
        <v/>
      </c>
      <c r="D104" s="69"/>
      <c r="E104" s="70"/>
      <c r="F104" s="70"/>
      <c r="G104" s="71"/>
      <c r="H104" s="70"/>
      <c r="I104" s="70"/>
      <c r="J104" s="72"/>
    </row>
    <row r="105" spans="1:10" x14ac:dyDescent="0.2">
      <c r="A105" s="50" t="str">
        <f>IF(ISBLANK(RECAPITULATIF!A114),"",RECAPITULATIF!A114)</f>
        <v/>
      </c>
      <c r="B105" s="50" t="str">
        <f>IF(ISBLANK(RECAPITULATIF!B114),"",RECAPITULATIF!B114)</f>
        <v/>
      </c>
      <c r="C105" s="50" t="str">
        <f>IF(ISBLANK(RECAPITULATIF!C114),"",RECAPITULATIF!C114)</f>
        <v/>
      </c>
      <c r="D105" s="69"/>
      <c r="E105" s="70"/>
      <c r="F105" s="70"/>
      <c r="G105" s="71"/>
      <c r="H105" s="70"/>
      <c r="I105" s="70"/>
      <c r="J105" s="72"/>
    </row>
    <row r="106" spans="1:10" x14ac:dyDescent="0.2">
      <c r="A106" s="50" t="str">
        <f>IF(ISBLANK(RECAPITULATIF!A115),"",RECAPITULATIF!A115)</f>
        <v/>
      </c>
      <c r="B106" s="50" t="str">
        <f>IF(ISBLANK(RECAPITULATIF!B115),"",RECAPITULATIF!B115)</f>
        <v/>
      </c>
      <c r="C106" s="50" t="str">
        <f>IF(ISBLANK(RECAPITULATIF!C115),"",RECAPITULATIF!C115)</f>
        <v/>
      </c>
      <c r="D106" s="69"/>
      <c r="E106" s="70"/>
      <c r="F106" s="70"/>
      <c r="G106" s="71"/>
      <c r="H106" s="70"/>
      <c r="I106" s="70"/>
      <c r="J106" s="72"/>
    </row>
    <row r="107" spans="1:10" x14ac:dyDescent="0.2">
      <c r="A107" s="50" t="str">
        <f>IF(ISBLANK(RECAPITULATIF!A116),"",RECAPITULATIF!A116)</f>
        <v/>
      </c>
      <c r="B107" s="50" t="str">
        <f>IF(ISBLANK(RECAPITULATIF!B116),"",RECAPITULATIF!B116)</f>
        <v/>
      </c>
      <c r="C107" s="50" t="str">
        <f>IF(ISBLANK(RECAPITULATIF!C116),"",RECAPITULATIF!C116)</f>
        <v/>
      </c>
      <c r="D107" s="69"/>
      <c r="E107" s="70"/>
      <c r="F107" s="70"/>
      <c r="G107" s="71"/>
      <c r="H107" s="70"/>
      <c r="I107" s="70"/>
      <c r="J107" s="72"/>
    </row>
    <row r="108" spans="1:10" x14ac:dyDescent="0.2">
      <c r="A108" s="50" t="str">
        <f>IF(ISBLANK(RECAPITULATIF!A117),"",RECAPITULATIF!A117)</f>
        <v/>
      </c>
      <c r="B108" s="50" t="str">
        <f>IF(ISBLANK(RECAPITULATIF!B117),"",RECAPITULATIF!B117)</f>
        <v/>
      </c>
      <c r="C108" s="50" t="str">
        <f>IF(ISBLANK(RECAPITULATIF!C117),"",RECAPITULATIF!C117)</f>
        <v/>
      </c>
      <c r="D108" s="69"/>
      <c r="E108" s="70"/>
      <c r="F108" s="70"/>
      <c r="G108" s="71"/>
      <c r="H108" s="70"/>
      <c r="I108" s="70"/>
      <c r="J108" s="72"/>
    </row>
    <row r="109" spans="1:10" x14ac:dyDescent="0.2">
      <c r="A109" s="50" t="str">
        <f>IF(ISBLANK(RECAPITULATIF!A118),"",RECAPITULATIF!A118)</f>
        <v/>
      </c>
      <c r="B109" s="50" t="str">
        <f>IF(ISBLANK(RECAPITULATIF!B118),"",RECAPITULATIF!B118)</f>
        <v/>
      </c>
      <c r="C109" s="50" t="str">
        <f>IF(ISBLANK(RECAPITULATIF!C118),"",RECAPITULATIF!C118)</f>
        <v/>
      </c>
      <c r="D109" s="69"/>
      <c r="E109" s="70"/>
      <c r="F109" s="70"/>
      <c r="G109" s="71"/>
      <c r="H109" s="70"/>
      <c r="I109" s="70"/>
      <c r="J109" s="72"/>
    </row>
    <row r="110" spans="1:10" x14ac:dyDescent="0.2">
      <c r="A110" s="50" t="str">
        <f>IF(ISBLANK(RECAPITULATIF!A119),"",RECAPITULATIF!A119)</f>
        <v/>
      </c>
      <c r="B110" s="50" t="str">
        <f>IF(ISBLANK(RECAPITULATIF!B119),"",RECAPITULATIF!B119)</f>
        <v/>
      </c>
      <c r="C110" s="50" t="str">
        <f>IF(ISBLANK(RECAPITULATIF!C119),"",RECAPITULATIF!C119)</f>
        <v/>
      </c>
      <c r="D110" s="69"/>
      <c r="E110" s="70"/>
      <c r="F110" s="70"/>
      <c r="G110" s="71"/>
      <c r="H110" s="70"/>
      <c r="I110" s="70"/>
      <c r="J110" s="72"/>
    </row>
    <row r="111" spans="1:10" x14ac:dyDescent="0.2">
      <c r="A111" s="50" t="str">
        <f>IF(ISBLANK(RECAPITULATIF!A120),"",RECAPITULATIF!A120)</f>
        <v/>
      </c>
      <c r="B111" s="50" t="str">
        <f>IF(ISBLANK(RECAPITULATIF!B120),"",RECAPITULATIF!B120)</f>
        <v/>
      </c>
      <c r="C111" s="50" t="str">
        <f>IF(ISBLANK(RECAPITULATIF!C120),"",RECAPITULATIF!C120)</f>
        <v/>
      </c>
      <c r="D111" s="69"/>
      <c r="E111" s="70"/>
      <c r="F111" s="70"/>
      <c r="G111" s="71"/>
      <c r="H111" s="70"/>
      <c r="I111" s="70"/>
      <c r="J111" s="72"/>
    </row>
    <row r="112" spans="1:10" x14ac:dyDescent="0.2">
      <c r="A112" s="50" t="str">
        <f>IF(ISBLANK(RECAPITULATIF!A121),"",RECAPITULATIF!A121)</f>
        <v/>
      </c>
      <c r="B112" s="50" t="str">
        <f>IF(ISBLANK(RECAPITULATIF!B121),"",RECAPITULATIF!B121)</f>
        <v/>
      </c>
      <c r="C112" s="50" t="str">
        <f>IF(ISBLANK(RECAPITULATIF!C121),"",RECAPITULATIF!C121)</f>
        <v/>
      </c>
      <c r="D112" s="69"/>
      <c r="E112" s="70"/>
      <c r="F112" s="70"/>
      <c r="G112" s="71"/>
      <c r="H112" s="70"/>
      <c r="I112" s="70"/>
      <c r="J112" s="72"/>
    </row>
    <row r="113" spans="1:10" x14ac:dyDescent="0.2">
      <c r="A113" s="50" t="str">
        <f>IF(ISBLANK(RECAPITULATIF!A122),"",RECAPITULATIF!A122)</f>
        <v/>
      </c>
      <c r="B113" s="50" t="str">
        <f>IF(ISBLANK(RECAPITULATIF!B122),"",RECAPITULATIF!B122)</f>
        <v/>
      </c>
      <c r="C113" s="50" t="str">
        <f>IF(ISBLANK(RECAPITULATIF!C122),"",RECAPITULATIF!C122)</f>
        <v/>
      </c>
      <c r="D113" s="69"/>
      <c r="E113" s="70"/>
      <c r="F113" s="70"/>
      <c r="G113" s="71"/>
      <c r="H113" s="70"/>
      <c r="I113" s="70"/>
      <c r="J113" s="72"/>
    </row>
    <row r="114" spans="1:10" x14ac:dyDescent="0.2">
      <c r="A114" s="50" t="str">
        <f>IF(ISBLANK(RECAPITULATIF!A123),"",RECAPITULATIF!A123)</f>
        <v/>
      </c>
      <c r="B114" s="50" t="str">
        <f>IF(ISBLANK(RECAPITULATIF!B123),"",RECAPITULATIF!B123)</f>
        <v/>
      </c>
      <c r="C114" s="50" t="str">
        <f>IF(ISBLANK(RECAPITULATIF!C123),"",RECAPITULATIF!C123)</f>
        <v/>
      </c>
      <c r="D114" s="69"/>
      <c r="E114" s="70"/>
      <c r="F114" s="70"/>
      <c r="G114" s="71"/>
      <c r="H114" s="70"/>
      <c r="I114" s="70"/>
      <c r="J114" s="72"/>
    </row>
    <row r="115" spans="1:10" x14ac:dyDescent="0.2">
      <c r="A115" s="50" t="str">
        <f>IF(ISBLANK(RECAPITULATIF!A124),"",RECAPITULATIF!A124)</f>
        <v/>
      </c>
      <c r="B115" s="50" t="str">
        <f>IF(ISBLANK(RECAPITULATIF!B124),"",RECAPITULATIF!B124)</f>
        <v/>
      </c>
      <c r="C115" s="50" t="str">
        <f>IF(ISBLANK(RECAPITULATIF!C124),"",RECAPITULATIF!C124)</f>
        <v/>
      </c>
      <c r="D115" s="69"/>
      <c r="E115" s="70"/>
      <c r="F115" s="70"/>
      <c r="G115" s="71"/>
      <c r="H115" s="70"/>
      <c r="I115" s="70"/>
      <c r="J115" s="72"/>
    </row>
    <row r="116" spans="1:10" x14ac:dyDescent="0.2">
      <c r="A116" s="50" t="str">
        <f>IF(ISBLANK(RECAPITULATIF!A125),"",RECAPITULATIF!A125)</f>
        <v/>
      </c>
      <c r="B116" s="50" t="str">
        <f>IF(ISBLANK(RECAPITULATIF!B125),"",RECAPITULATIF!B125)</f>
        <v/>
      </c>
      <c r="C116" s="50" t="str">
        <f>IF(ISBLANK(RECAPITULATIF!C125),"",RECAPITULATIF!C125)</f>
        <v/>
      </c>
      <c r="D116" s="69"/>
      <c r="E116" s="70"/>
      <c r="F116" s="70"/>
      <c r="G116" s="71"/>
      <c r="H116" s="70"/>
      <c r="I116" s="70"/>
      <c r="J116" s="72"/>
    </row>
    <row r="117" spans="1:10" x14ac:dyDescent="0.2">
      <c r="A117" s="50" t="str">
        <f>IF(ISBLANK(RECAPITULATIF!A126),"",RECAPITULATIF!A126)</f>
        <v/>
      </c>
      <c r="B117" s="50" t="str">
        <f>IF(ISBLANK(RECAPITULATIF!B126),"",RECAPITULATIF!B126)</f>
        <v/>
      </c>
      <c r="C117" s="50" t="str">
        <f>IF(ISBLANK(RECAPITULATIF!C126),"",RECAPITULATIF!C126)</f>
        <v/>
      </c>
      <c r="D117" s="69"/>
      <c r="E117" s="70"/>
      <c r="F117" s="70"/>
      <c r="G117" s="71"/>
      <c r="H117" s="70"/>
      <c r="I117" s="70"/>
      <c r="J117" s="72"/>
    </row>
    <row r="118" spans="1:10" x14ac:dyDescent="0.2">
      <c r="A118" s="50" t="str">
        <f>IF(ISBLANK(RECAPITULATIF!A127),"",RECAPITULATIF!A127)</f>
        <v/>
      </c>
      <c r="B118" s="50" t="str">
        <f>IF(ISBLANK(RECAPITULATIF!B127),"",RECAPITULATIF!B127)</f>
        <v/>
      </c>
      <c r="C118" s="50" t="str">
        <f>IF(ISBLANK(RECAPITULATIF!C127),"",RECAPITULATIF!C127)</f>
        <v/>
      </c>
      <c r="D118" s="69"/>
      <c r="E118" s="70"/>
      <c r="F118" s="70"/>
      <c r="G118" s="71"/>
      <c r="H118" s="70"/>
      <c r="I118" s="70"/>
      <c r="J118" s="72"/>
    </row>
    <row r="119" spans="1:10" x14ac:dyDescent="0.2">
      <c r="A119" s="50" t="str">
        <f>IF(ISBLANK(RECAPITULATIF!A128),"",RECAPITULATIF!A128)</f>
        <v/>
      </c>
      <c r="B119" s="50" t="str">
        <f>IF(ISBLANK(RECAPITULATIF!B128),"",RECAPITULATIF!B128)</f>
        <v/>
      </c>
      <c r="C119" s="50" t="str">
        <f>IF(ISBLANK(RECAPITULATIF!C128),"",RECAPITULATIF!C128)</f>
        <v/>
      </c>
      <c r="D119" s="69"/>
      <c r="E119" s="70"/>
      <c r="F119" s="70"/>
      <c r="G119" s="71"/>
      <c r="H119" s="70"/>
      <c r="I119" s="70"/>
      <c r="J119" s="72"/>
    </row>
    <row r="120" spans="1:10" x14ac:dyDescent="0.2">
      <c r="A120" s="50" t="str">
        <f>IF(ISBLANK(RECAPITULATIF!A129),"",RECAPITULATIF!A129)</f>
        <v/>
      </c>
      <c r="B120" s="50" t="str">
        <f>IF(ISBLANK(RECAPITULATIF!B129),"",RECAPITULATIF!B129)</f>
        <v/>
      </c>
      <c r="C120" s="50" t="str">
        <f>IF(ISBLANK(RECAPITULATIF!C129),"",RECAPITULATIF!C129)</f>
        <v/>
      </c>
      <c r="D120" s="69"/>
      <c r="E120" s="70"/>
      <c r="F120" s="70"/>
      <c r="G120" s="71"/>
      <c r="H120" s="70"/>
      <c r="I120" s="70"/>
      <c r="J120" s="72"/>
    </row>
    <row r="121" spans="1:10" x14ac:dyDescent="0.2">
      <c r="A121" s="50" t="str">
        <f>IF(ISBLANK(RECAPITULATIF!A130),"",RECAPITULATIF!A130)</f>
        <v/>
      </c>
      <c r="B121" s="50" t="str">
        <f>IF(ISBLANK(RECAPITULATIF!B130),"",RECAPITULATIF!B130)</f>
        <v/>
      </c>
      <c r="C121" s="50" t="str">
        <f>IF(ISBLANK(RECAPITULATIF!C130),"",RECAPITULATIF!C130)</f>
        <v/>
      </c>
      <c r="D121" s="69"/>
      <c r="E121" s="70"/>
      <c r="F121" s="70"/>
      <c r="G121" s="71"/>
      <c r="H121" s="70"/>
      <c r="I121" s="70"/>
      <c r="J121" s="72"/>
    </row>
    <row r="122" spans="1:10" x14ac:dyDescent="0.2">
      <c r="A122" s="50" t="str">
        <f>IF(ISBLANK(RECAPITULATIF!A131),"",RECAPITULATIF!A131)</f>
        <v/>
      </c>
      <c r="B122" s="50" t="str">
        <f>IF(ISBLANK(RECAPITULATIF!B131),"",RECAPITULATIF!B131)</f>
        <v/>
      </c>
      <c r="C122" s="50" t="str">
        <f>IF(ISBLANK(RECAPITULATIF!C131),"",RECAPITULATIF!C131)</f>
        <v/>
      </c>
      <c r="D122" s="69"/>
      <c r="E122" s="70"/>
      <c r="F122" s="70"/>
      <c r="G122" s="71"/>
      <c r="H122" s="70"/>
      <c r="I122" s="70"/>
      <c r="J122" s="72"/>
    </row>
    <row r="123" spans="1:10" x14ac:dyDescent="0.2">
      <c r="A123" s="50" t="str">
        <f>IF(ISBLANK(RECAPITULATIF!A132),"",RECAPITULATIF!A132)</f>
        <v/>
      </c>
      <c r="B123" s="50" t="str">
        <f>IF(ISBLANK(RECAPITULATIF!B132),"",RECAPITULATIF!B132)</f>
        <v/>
      </c>
      <c r="C123" s="50" t="str">
        <f>IF(ISBLANK(RECAPITULATIF!C132),"",RECAPITULATIF!C132)</f>
        <v/>
      </c>
      <c r="D123" s="69"/>
      <c r="E123" s="70"/>
      <c r="F123" s="70"/>
      <c r="G123" s="71"/>
      <c r="H123" s="70"/>
      <c r="I123" s="70"/>
      <c r="J123" s="72"/>
    </row>
    <row r="124" spans="1:10" x14ac:dyDescent="0.2">
      <c r="A124" s="50" t="str">
        <f>IF(ISBLANK(RECAPITULATIF!A133),"",RECAPITULATIF!A133)</f>
        <v/>
      </c>
      <c r="B124" s="50" t="str">
        <f>IF(ISBLANK(RECAPITULATIF!B133),"",RECAPITULATIF!B133)</f>
        <v/>
      </c>
      <c r="C124" s="50" t="str">
        <f>IF(ISBLANK(RECAPITULATIF!C133),"",RECAPITULATIF!C133)</f>
        <v/>
      </c>
      <c r="D124" s="69"/>
      <c r="E124" s="70"/>
      <c r="F124" s="70"/>
      <c r="G124" s="71"/>
      <c r="H124" s="70"/>
      <c r="I124" s="70"/>
      <c r="J124" s="72"/>
    </row>
    <row r="125" spans="1:10" x14ac:dyDescent="0.2">
      <c r="A125" s="50" t="str">
        <f>IF(ISBLANK(RECAPITULATIF!A134),"",RECAPITULATIF!A134)</f>
        <v/>
      </c>
      <c r="B125" s="50" t="str">
        <f>IF(ISBLANK(RECAPITULATIF!B134),"",RECAPITULATIF!B134)</f>
        <v/>
      </c>
      <c r="C125" s="50" t="str">
        <f>IF(ISBLANK(RECAPITULATIF!C134),"",RECAPITULATIF!C134)</f>
        <v/>
      </c>
      <c r="D125" s="69"/>
      <c r="E125" s="70"/>
      <c r="F125" s="70"/>
      <c r="G125" s="71"/>
      <c r="H125" s="70"/>
      <c r="I125" s="70"/>
      <c r="J125" s="72"/>
    </row>
    <row r="126" spans="1:10" x14ac:dyDescent="0.2">
      <c r="A126" s="50" t="str">
        <f>IF(ISBLANK(RECAPITULATIF!A135),"",RECAPITULATIF!A135)</f>
        <v/>
      </c>
      <c r="B126" s="50" t="str">
        <f>IF(ISBLANK(RECAPITULATIF!B135),"",RECAPITULATIF!B135)</f>
        <v/>
      </c>
      <c r="C126" s="50" t="str">
        <f>IF(ISBLANK(RECAPITULATIF!C135),"",RECAPITULATIF!C135)</f>
        <v/>
      </c>
      <c r="D126" s="69"/>
      <c r="E126" s="70"/>
      <c r="F126" s="70"/>
      <c r="G126" s="71"/>
      <c r="H126" s="70"/>
      <c r="I126" s="70"/>
      <c r="J126" s="72"/>
    </row>
    <row r="127" spans="1:10" x14ac:dyDescent="0.2">
      <c r="A127" s="50" t="str">
        <f>IF(ISBLANK(RECAPITULATIF!A136),"",RECAPITULATIF!A136)</f>
        <v/>
      </c>
      <c r="B127" s="50" t="str">
        <f>IF(ISBLANK(RECAPITULATIF!B136),"",RECAPITULATIF!B136)</f>
        <v/>
      </c>
      <c r="C127" s="50" t="str">
        <f>IF(ISBLANK(RECAPITULATIF!C136),"",RECAPITULATIF!C136)</f>
        <v/>
      </c>
      <c r="D127" s="69"/>
      <c r="E127" s="70"/>
      <c r="F127" s="70"/>
      <c r="G127" s="71"/>
      <c r="H127" s="70"/>
      <c r="I127" s="70"/>
      <c r="J127" s="72"/>
    </row>
    <row r="128" spans="1:10" x14ac:dyDescent="0.2">
      <c r="A128" s="50" t="str">
        <f>IF(ISBLANK(RECAPITULATIF!A137),"",RECAPITULATIF!A137)</f>
        <v/>
      </c>
      <c r="B128" s="50" t="str">
        <f>IF(ISBLANK(RECAPITULATIF!B137),"",RECAPITULATIF!B137)</f>
        <v/>
      </c>
      <c r="C128" s="50" t="str">
        <f>IF(ISBLANK(RECAPITULATIF!C137),"",RECAPITULATIF!C137)</f>
        <v/>
      </c>
      <c r="D128" s="69"/>
      <c r="E128" s="70"/>
      <c r="F128" s="70"/>
      <c r="G128" s="71"/>
      <c r="H128" s="70"/>
      <c r="I128" s="70"/>
      <c r="J128" s="72"/>
    </row>
    <row r="129" spans="1:10" x14ac:dyDescent="0.2">
      <c r="A129" s="50" t="str">
        <f>IF(ISBLANK(RECAPITULATIF!A138),"",RECAPITULATIF!A138)</f>
        <v/>
      </c>
      <c r="B129" s="50" t="str">
        <f>IF(ISBLANK(RECAPITULATIF!B138),"",RECAPITULATIF!B138)</f>
        <v/>
      </c>
      <c r="C129" s="50" t="str">
        <f>IF(ISBLANK(RECAPITULATIF!C138),"",RECAPITULATIF!C138)</f>
        <v/>
      </c>
      <c r="D129" s="69"/>
      <c r="E129" s="70"/>
      <c r="F129" s="70"/>
      <c r="G129" s="71"/>
      <c r="H129" s="70"/>
      <c r="I129" s="70"/>
      <c r="J129" s="72"/>
    </row>
    <row r="130" spans="1:10" x14ac:dyDescent="0.2">
      <c r="A130" s="50" t="str">
        <f>IF(ISBLANK(RECAPITULATIF!A139),"",RECAPITULATIF!A139)</f>
        <v/>
      </c>
      <c r="B130" s="50" t="str">
        <f>IF(ISBLANK(RECAPITULATIF!B139),"",RECAPITULATIF!B139)</f>
        <v/>
      </c>
      <c r="C130" s="50" t="str">
        <f>IF(ISBLANK(RECAPITULATIF!C139),"",RECAPITULATIF!C139)</f>
        <v/>
      </c>
      <c r="D130" s="69"/>
      <c r="E130" s="70"/>
      <c r="F130" s="70"/>
      <c r="G130" s="71"/>
      <c r="H130" s="70"/>
      <c r="I130" s="70"/>
      <c r="J130" s="72"/>
    </row>
    <row r="131" spans="1:10" x14ac:dyDescent="0.2">
      <c r="A131" s="50" t="str">
        <f>IF(ISBLANK(RECAPITULATIF!A140),"",RECAPITULATIF!A140)</f>
        <v/>
      </c>
      <c r="B131" s="50" t="str">
        <f>IF(ISBLANK(RECAPITULATIF!B140),"",RECAPITULATIF!B140)</f>
        <v/>
      </c>
      <c r="C131" s="50" t="str">
        <f>IF(ISBLANK(RECAPITULATIF!C140),"",RECAPITULATIF!C140)</f>
        <v/>
      </c>
      <c r="D131" s="69"/>
      <c r="E131" s="70"/>
      <c r="F131" s="70"/>
      <c r="G131" s="71"/>
      <c r="H131" s="70"/>
      <c r="I131" s="70"/>
      <c r="J131" s="72"/>
    </row>
    <row r="132" spans="1:10" x14ac:dyDescent="0.2">
      <c r="A132" s="50" t="str">
        <f>IF(ISBLANK(RECAPITULATIF!A141),"",RECAPITULATIF!A141)</f>
        <v/>
      </c>
      <c r="B132" s="50" t="str">
        <f>IF(ISBLANK(RECAPITULATIF!B141),"",RECAPITULATIF!B141)</f>
        <v/>
      </c>
      <c r="C132" s="50" t="str">
        <f>IF(ISBLANK(RECAPITULATIF!C141),"",RECAPITULATIF!C141)</f>
        <v/>
      </c>
      <c r="D132" s="69"/>
      <c r="E132" s="70"/>
      <c r="F132" s="70"/>
      <c r="G132" s="71"/>
      <c r="H132" s="70"/>
      <c r="I132" s="70"/>
      <c r="J132" s="72"/>
    </row>
    <row r="133" spans="1:10" x14ac:dyDescent="0.2">
      <c r="A133" s="50" t="str">
        <f>IF(ISBLANK(RECAPITULATIF!A142),"",RECAPITULATIF!A142)</f>
        <v/>
      </c>
      <c r="B133" s="50" t="str">
        <f>IF(ISBLANK(RECAPITULATIF!B142),"",RECAPITULATIF!B142)</f>
        <v/>
      </c>
      <c r="C133" s="50" t="str">
        <f>IF(ISBLANK(RECAPITULATIF!C142),"",RECAPITULATIF!C142)</f>
        <v/>
      </c>
      <c r="D133" s="69"/>
      <c r="E133" s="70"/>
      <c r="F133" s="70"/>
      <c r="G133" s="71"/>
      <c r="H133" s="70"/>
      <c r="I133" s="70"/>
      <c r="J133" s="72"/>
    </row>
    <row r="134" spans="1:10" x14ac:dyDescent="0.2">
      <c r="A134" s="50" t="str">
        <f>IF(ISBLANK(RECAPITULATIF!A143),"",RECAPITULATIF!A143)</f>
        <v/>
      </c>
      <c r="B134" s="50" t="str">
        <f>IF(ISBLANK(RECAPITULATIF!B143),"",RECAPITULATIF!B143)</f>
        <v/>
      </c>
      <c r="C134" s="50" t="str">
        <f>IF(ISBLANK(RECAPITULATIF!C143),"",RECAPITULATIF!C143)</f>
        <v/>
      </c>
      <c r="D134" s="69"/>
      <c r="E134" s="70"/>
      <c r="F134" s="70"/>
      <c r="G134" s="71"/>
      <c r="H134" s="70"/>
      <c r="I134" s="70"/>
      <c r="J134" s="72"/>
    </row>
    <row r="135" spans="1:10" x14ac:dyDescent="0.2">
      <c r="A135" s="50" t="str">
        <f>IF(ISBLANK(RECAPITULATIF!A144),"",RECAPITULATIF!A144)</f>
        <v/>
      </c>
      <c r="B135" s="50" t="str">
        <f>IF(ISBLANK(RECAPITULATIF!B144),"",RECAPITULATIF!B144)</f>
        <v/>
      </c>
      <c r="C135" s="50" t="str">
        <f>IF(ISBLANK(RECAPITULATIF!C144),"",RECAPITULATIF!C144)</f>
        <v/>
      </c>
      <c r="D135" s="69"/>
      <c r="E135" s="70"/>
      <c r="F135" s="70"/>
      <c r="G135" s="71"/>
      <c r="H135" s="70"/>
      <c r="I135" s="70"/>
      <c r="J135" s="72"/>
    </row>
    <row r="136" spans="1:10" x14ac:dyDescent="0.2">
      <c r="A136" s="50" t="str">
        <f>IF(ISBLANK(RECAPITULATIF!A145),"",RECAPITULATIF!A145)</f>
        <v/>
      </c>
      <c r="B136" s="50" t="str">
        <f>IF(ISBLANK(RECAPITULATIF!B145),"",RECAPITULATIF!B145)</f>
        <v/>
      </c>
      <c r="C136" s="50" t="str">
        <f>IF(ISBLANK(RECAPITULATIF!C145),"",RECAPITULATIF!C145)</f>
        <v/>
      </c>
      <c r="D136" s="69"/>
      <c r="E136" s="70"/>
      <c r="F136" s="70"/>
      <c r="G136" s="71"/>
      <c r="H136" s="70"/>
      <c r="I136" s="70"/>
      <c r="J136" s="72"/>
    </row>
    <row r="137" spans="1:10" x14ac:dyDescent="0.2">
      <c r="A137" s="50" t="str">
        <f>IF(ISBLANK(RECAPITULATIF!A146),"",RECAPITULATIF!A146)</f>
        <v/>
      </c>
      <c r="B137" s="50" t="str">
        <f>IF(ISBLANK(RECAPITULATIF!B146),"",RECAPITULATIF!B146)</f>
        <v/>
      </c>
      <c r="C137" s="50" t="str">
        <f>IF(ISBLANK(RECAPITULATIF!C146),"",RECAPITULATIF!C146)</f>
        <v/>
      </c>
      <c r="D137" s="69"/>
      <c r="E137" s="70"/>
      <c r="F137" s="70"/>
      <c r="G137" s="71"/>
      <c r="H137" s="70"/>
      <c r="I137" s="70"/>
      <c r="J137" s="72"/>
    </row>
    <row r="138" spans="1:10" x14ac:dyDescent="0.2">
      <c r="A138" s="50" t="str">
        <f>IF(ISBLANK(RECAPITULATIF!A147),"",RECAPITULATIF!A147)</f>
        <v/>
      </c>
      <c r="B138" s="50" t="str">
        <f>IF(ISBLANK(RECAPITULATIF!B147),"",RECAPITULATIF!B147)</f>
        <v/>
      </c>
      <c r="C138" s="50" t="str">
        <f>IF(ISBLANK(RECAPITULATIF!C147),"",RECAPITULATIF!C147)</f>
        <v/>
      </c>
      <c r="D138" s="69"/>
      <c r="E138" s="70"/>
      <c r="F138" s="70"/>
      <c r="G138" s="71"/>
      <c r="H138" s="70"/>
      <c r="I138" s="70"/>
      <c r="J138" s="72"/>
    </row>
    <row r="139" spans="1:10" x14ac:dyDescent="0.2">
      <c r="A139" s="50" t="str">
        <f>IF(ISBLANK(RECAPITULATIF!A148),"",RECAPITULATIF!A148)</f>
        <v/>
      </c>
      <c r="B139" s="50" t="str">
        <f>IF(ISBLANK(RECAPITULATIF!B148),"",RECAPITULATIF!B148)</f>
        <v/>
      </c>
      <c r="C139" s="50" t="str">
        <f>IF(ISBLANK(RECAPITULATIF!C148),"",RECAPITULATIF!C148)</f>
        <v/>
      </c>
      <c r="D139" s="69"/>
      <c r="E139" s="70"/>
      <c r="F139" s="70"/>
      <c r="G139" s="71"/>
      <c r="H139" s="70"/>
      <c r="I139" s="70"/>
      <c r="J139" s="72"/>
    </row>
    <row r="140" spans="1:10" x14ac:dyDescent="0.2">
      <c r="A140" s="50" t="str">
        <f>IF(ISBLANK(RECAPITULATIF!A149),"",RECAPITULATIF!A149)</f>
        <v/>
      </c>
      <c r="B140" s="50" t="str">
        <f>IF(ISBLANK(RECAPITULATIF!B149),"",RECAPITULATIF!B149)</f>
        <v/>
      </c>
      <c r="C140" s="50" t="str">
        <f>IF(ISBLANK(RECAPITULATIF!C149),"",RECAPITULATIF!C149)</f>
        <v/>
      </c>
      <c r="D140" s="69"/>
      <c r="E140" s="70"/>
      <c r="F140" s="70"/>
      <c r="G140" s="71"/>
      <c r="H140" s="70"/>
      <c r="I140" s="70"/>
      <c r="J140" s="72"/>
    </row>
    <row r="141" spans="1:10" x14ac:dyDescent="0.2">
      <c r="A141" s="50" t="str">
        <f>IF(ISBLANK(RECAPITULATIF!A150),"",RECAPITULATIF!A150)</f>
        <v/>
      </c>
      <c r="B141" s="50" t="str">
        <f>IF(ISBLANK(RECAPITULATIF!B150),"",RECAPITULATIF!B150)</f>
        <v/>
      </c>
      <c r="C141" s="50" t="str">
        <f>IF(ISBLANK(RECAPITULATIF!C150),"",RECAPITULATIF!C150)</f>
        <v/>
      </c>
      <c r="D141" s="69"/>
      <c r="E141" s="70"/>
      <c r="F141" s="70"/>
      <c r="G141" s="71"/>
      <c r="H141" s="70"/>
      <c r="I141" s="70"/>
      <c r="J141" s="72"/>
    </row>
    <row r="142" spans="1:10" x14ac:dyDescent="0.2">
      <c r="A142" s="50" t="str">
        <f>IF(ISBLANK(RECAPITULATIF!A151),"",RECAPITULATIF!A151)</f>
        <v/>
      </c>
      <c r="B142" s="50" t="str">
        <f>IF(ISBLANK(RECAPITULATIF!B151),"",RECAPITULATIF!B151)</f>
        <v/>
      </c>
      <c r="C142" s="50" t="str">
        <f>IF(ISBLANK(RECAPITULATIF!C151),"",RECAPITULATIF!C151)</f>
        <v/>
      </c>
      <c r="D142" s="69"/>
      <c r="E142" s="70"/>
      <c r="F142" s="70"/>
      <c r="G142" s="71"/>
      <c r="H142" s="70"/>
      <c r="I142" s="70"/>
      <c r="J142" s="72"/>
    </row>
    <row r="143" spans="1:10" x14ac:dyDescent="0.2">
      <c r="A143" s="50" t="str">
        <f>IF(ISBLANK(RECAPITULATIF!A152),"",RECAPITULATIF!A152)</f>
        <v/>
      </c>
      <c r="B143" s="50" t="str">
        <f>IF(ISBLANK(RECAPITULATIF!B152),"",RECAPITULATIF!B152)</f>
        <v/>
      </c>
      <c r="C143" s="50" t="str">
        <f>IF(ISBLANK(RECAPITULATIF!C152),"",RECAPITULATIF!C152)</f>
        <v/>
      </c>
      <c r="D143" s="69"/>
      <c r="E143" s="70"/>
      <c r="F143" s="70"/>
      <c r="G143" s="71"/>
      <c r="H143" s="70"/>
      <c r="I143" s="70"/>
      <c r="J143" s="72"/>
    </row>
    <row r="144" spans="1:10" x14ac:dyDescent="0.2">
      <c r="A144" s="50" t="str">
        <f>IF(ISBLANK(RECAPITULATIF!A153),"",RECAPITULATIF!A153)</f>
        <v/>
      </c>
      <c r="B144" s="50" t="str">
        <f>IF(ISBLANK(RECAPITULATIF!B153),"",RECAPITULATIF!B153)</f>
        <v/>
      </c>
      <c r="C144" s="50" t="str">
        <f>IF(ISBLANK(RECAPITULATIF!C153),"",RECAPITULATIF!C153)</f>
        <v/>
      </c>
      <c r="D144" s="69"/>
      <c r="E144" s="70"/>
      <c r="F144" s="70"/>
      <c r="G144" s="71"/>
      <c r="H144" s="70"/>
      <c r="I144" s="70"/>
      <c r="J144" s="72"/>
    </row>
    <row r="145" spans="1:10" x14ac:dyDescent="0.2">
      <c r="A145" s="50" t="str">
        <f>IF(ISBLANK(RECAPITULATIF!A154),"",RECAPITULATIF!A154)</f>
        <v/>
      </c>
      <c r="B145" s="50" t="str">
        <f>IF(ISBLANK(RECAPITULATIF!B154),"",RECAPITULATIF!B154)</f>
        <v/>
      </c>
      <c r="C145" s="50" t="str">
        <f>IF(ISBLANK(RECAPITULATIF!C154),"",RECAPITULATIF!C154)</f>
        <v/>
      </c>
      <c r="D145" s="69"/>
      <c r="E145" s="70"/>
      <c r="F145" s="70"/>
      <c r="G145" s="71"/>
      <c r="H145" s="70"/>
      <c r="I145" s="70"/>
      <c r="J145" s="72"/>
    </row>
    <row r="146" spans="1:10" x14ac:dyDescent="0.2">
      <c r="A146" s="50" t="str">
        <f>IF(ISBLANK(RECAPITULATIF!A155),"",RECAPITULATIF!A155)</f>
        <v/>
      </c>
      <c r="B146" s="50" t="str">
        <f>IF(ISBLANK(RECAPITULATIF!B155),"",RECAPITULATIF!B155)</f>
        <v/>
      </c>
      <c r="C146" s="50" t="str">
        <f>IF(ISBLANK(RECAPITULATIF!C155),"",RECAPITULATIF!C155)</f>
        <v/>
      </c>
      <c r="D146" s="69"/>
      <c r="E146" s="70"/>
      <c r="F146" s="70"/>
      <c r="G146" s="71"/>
      <c r="H146" s="70"/>
      <c r="I146" s="70"/>
      <c r="J146" s="72"/>
    </row>
    <row r="147" spans="1:10" x14ac:dyDescent="0.2">
      <c r="A147" s="50" t="str">
        <f>IF(ISBLANK(RECAPITULATIF!A156),"",RECAPITULATIF!A156)</f>
        <v/>
      </c>
      <c r="B147" s="50" t="str">
        <f>IF(ISBLANK(RECAPITULATIF!B156),"",RECAPITULATIF!B156)</f>
        <v/>
      </c>
      <c r="C147" s="50" t="str">
        <f>IF(ISBLANK(RECAPITULATIF!C156),"",RECAPITULATIF!C156)</f>
        <v/>
      </c>
      <c r="D147" s="69"/>
      <c r="E147" s="70"/>
      <c r="F147" s="70"/>
      <c r="G147" s="71"/>
      <c r="H147" s="70"/>
      <c r="I147" s="70"/>
      <c r="J147" s="72"/>
    </row>
    <row r="148" spans="1:10" x14ac:dyDescent="0.2">
      <c r="A148" s="50" t="str">
        <f>IF(ISBLANK(RECAPITULATIF!A157),"",RECAPITULATIF!A157)</f>
        <v/>
      </c>
      <c r="B148" s="50" t="str">
        <f>IF(ISBLANK(RECAPITULATIF!B157),"",RECAPITULATIF!B157)</f>
        <v/>
      </c>
      <c r="C148" s="50" t="str">
        <f>IF(ISBLANK(RECAPITULATIF!C157),"",RECAPITULATIF!C157)</f>
        <v/>
      </c>
      <c r="D148" s="69"/>
      <c r="E148" s="70"/>
      <c r="F148" s="70"/>
      <c r="G148" s="71"/>
      <c r="H148" s="70"/>
      <c r="I148" s="70"/>
      <c r="J148" s="72"/>
    </row>
    <row r="149" spans="1:10" x14ac:dyDescent="0.2">
      <c r="A149" s="50" t="str">
        <f>IF(ISBLANK(RECAPITULATIF!A158),"",RECAPITULATIF!A158)</f>
        <v/>
      </c>
      <c r="B149" s="50" t="str">
        <f>IF(ISBLANK(RECAPITULATIF!B158),"",RECAPITULATIF!B158)</f>
        <v/>
      </c>
      <c r="C149" s="50" t="str">
        <f>IF(ISBLANK(RECAPITULATIF!C158),"",RECAPITULATIF!C158)</f>
        <v/>
      </c>
      <c r="D149" s="69"/>
      <c r="E149" s="70"/>
      <c r="F149" s="70"/>
      <c r="G149" s="71"/>
      <c r="H149" s="70"/>
      <c r="I149" s="70"/>
      <c r="J149" s="72"/>
    </row>
    <row r="150" spans="1:10" x14ac:dyDescent="0.2">
      <c r="A150" s="50" t="str">
        <f>IF(ISBLANK(RECAPITULATIF!A159),"",RECAPITULATIF!A159)</f>
        <v/>
      </c>
      <c r="B150" s="50" t="str">
        <f>IF(ISBLANK(RECAPITULATIF!B159),"",RECAPITULATIF!B159)</f>
        <v/>
      </c>
      <c r="C150" s="50" t="str">
        <f>IF(ISBLANK(RECAPITULATIF!C159),"",RECAPITULATIF!C159)</f>
        <v/>
      </c>
      <c r="D150" s="69"/>
      <c r="E150" s="70"/>
      <c r="F150" s="70"/>
      <c r="G150" s="71"/>
      <c r="H150" s="70"/>
      <c r="I150" s="70"/>
      <c r="J150" s="72"/>
    </row>
    <row r="151" spans="1:10" x14ac:dyDescent="0.2">
      <c r="A151" s="50" t="str">
        <f>IF(ISBLANK(RECAPITULATIF!A160),"",RECAPITULATIF!A160)</f>
        <v/>
      </c>
      <c r="B151" s="50" t="str">
        <f>IF(ISBLANK(RECAPITULATIF!B160),"",RECAPITULATIF!B160)</f>
        <v/>
      </c>
      <c r="C151" s="50" t="str">
        <f>IF(ISBLANK(RECAPITULATIF!C160),"",RECAPITULATIF!C160)</f>
        <v/>
      </c>
      <c r="D151" s="69"/>
      <c r="E151" s="70"/>
      <c r="F151" s="70"/>
      <c r="G151" s="71"/>
      <c r="H151" s="70"/>
      <c r="I151" s="70"/>
      <c r="J151" s="72"/>
    </row>
    <row r="152" spans="1:10" x14ac:dyDescent="0.2">
      <c r="A152" s="50" t="str">
        <f>IF(ISBLANK(RECAPITULATIF!A161),"",RECAPITULATIF!A161)</f>
        <v/>
      </c>
      <c r="B152" s="50" t="str">
        <f>IF(ISBLANK(RECAPITULATIF!B161),"",RECAPITULATIF!B161)</f>
        <v/>
      </c>
      <c r="C152" s="50" t="str">
        <f>IF(ISBLANK(RECAPITULATIF!C161),"",RECAPITULATIF!C161)</f>
        <v/>
      </c>
      <c r="D152" s="69"/>
      <c r="E152" s="70"/>
      <c r="F152" s="70"/>
      <c r="G152" s="71"/>
      <c r="H152" s="70"/>
      <c r="I152" s="70"/>
      <c r="J152" s="72"/>
    </row>
    <row r="153" spans="1:10" x14ac:dyDescent="0.2">
      <c r="A153" s="50" t="str">
        <f>IF(ISBLANK(RECAPITULATIF!A162),"",RECAPITULATIF!A162)</f>
        <v/>
      </c>
      <c r="B153" s="50" t="str">
        <f>IF(ISBLANK(RECAPITULATIF!B162),"",RECAPITULATIF!B162)</f>
        <v/>
      </c>
      <c r="C153" s="50" t="str">
        <f>IF(ISBLANK(RECAPITULATIF!C162),"",RECAPITULATIF!C162)</f>
        <v/>
      </c>
      <c r="D153" s="69"/>
      <c r="E153" s="70"/>
      <c r="F153" s="70"/>
      <c r="G153" s="71"/>
      <c r="H153" s="70"/>
      <c r="I153" s="70"/>
      <c r="J153" s="72"/>
    </row>
    <row r="154" spans="1:10" x14ac:dyDescent="0.2">
      <c r="A154" s="50" t="str">
        <f>IF(ISBLANK(RECAPITULATIF!A163),"",RECAPITULATIF!A163)</f>
        <v/>
      </c>
      <c r="B154" s="50" t="str">
        <f>IF(ISBLANK(RECAPITULATIF!B163),"",RECAPITULATIF!B163)</f>
        <v/>
      </c>
      <c r="C154" s="50" t="str">
        <f>IF(ISBLANK(RECAPITULATIF!C163),"",RECAPITULATIF!C163)</f>
        <v/>
      </c>
      <c r="D154" s="69"/>
      <c r="E154" s="70"/>
      <c r="F154" s="70"/>
      <c r="G154" s="71"/>
      <c r="H154" s="70"/>
      <c r="I154" s="70"/>
      <c r="J154" s="72"/>
    </row>
    <row r="155" spans="1:10" x14ac:dyDescent="0.2">
      <c r="A155" s="50" t="str">
        <f>IF(ISBLANK(RECAPITULATIF!A164),"",RECAPITULATIF!A164)</f>
        <v/>
      </c>
      <c r="B155" s="50" t="str">
        <f>IF(ISBLANK(RECAPITULATIF!B164),"",RECAPITULATIF!B164)</f>
        <v/>
      </c>
      <c r="C155" s="50" t="str">
        <f>IF(ISBLANK(RECAPITULATIF!C164),"",RECAPITULATIF!C164)</f>
        <v/>
      </c>
      <c r="D155" s="69"/>
      <c r="E155" s="70"/>
      <c r="F155" s="70"/>
      <c r="G155" s="71"/>
      <c r="H155" s="70"/>
      <c r="I155" s="70"/>
      <c r="J155" s="72"/>
    </row>
    <row r="156" spans="1:10" x14ac:dyDescent="0.2">
      <c r="A156" s="50" t="str">
        <f>IF(ISBLANK(RECAPITULATIF!A165),"",RECAPITULATIF!A165)</f>
        <v/>
      </c>
      <c r="B156" s="50" t="str">
        <f>IF(ISBLANK(RECAPITULATIF!B165),"",RECAPITULATIF!B165)</f>
        <v/>
      </c>
      <c r="C156" s="50" t="str">
        <f>IF(ISBLANK(RECAPITULATIF!C165),"",RECAPITULATIF!C165)</f>
        <v/>
      </c>
      <c r="D156" s="69"/>
      <c r="E156" s="70"/>
      <c r="F156" s="70"/>
      <c r="G156" s="71"/>
      <c r="H156" s="70"/>
      <c r="I156" s="70"/>
      <c r="J156" s="72"/>
    </row>
    <row r="157" spans="1:10" x14ac:dyDescent="0.2">
      <c r="A157" s="50" t="str">
        <f>IF(ISBLANK(RECAPITULATIF!A166),"",RECAPITULATIF!A166)</f>
        <v/>
      </c>
      <c r="B157" s="50" t="str">
        <f>IF(ISBLANK(RECAPITULATIF!B166),"",RECAPITULATIF!B166)</f>
        <v/>
      </c>
      <c r="C157" s="50" t="str">
        <f>IF(ISBLANK(RECAPITULATIF!C166),"",RECAPITULATIF!C166)</f>
        <v/>
      </c>
      <c r="D157" s="69"/>
      <c r="E157" s="70"/>
      <c r="F157" s="70"/>
      <c r="G157" s="71"/>
      <c r="H157" s="70"/>
      <c r="I157" s="70"/>
      <c r="J157" s="72"/>
    </row>
    <row r="158" spans="1:10" x14ac:dyDescent="0.2">
      <c r="A158" s="50" t="str">
        <f>IF(ISBLANK(RECAPITULATIF!A167),"",RECAPITULATIF!A167)</f>
        <v/>
      </c>
      <c r="B158" s="50" t="str">
        <f>IF(ISBLANK(RECAPITULATIF!B167),"",RECAPITULATIF!B167)</f>
        <v/>
      </c>
      <c r="C158" s="50" t="str">
        <f>IF(ISBLANK(RECAPITULATIF!C167),"",RECAPITULATIF!C167)</f>
        <v/>
      </c>
      <c r="D158" s="69"/>
      <c r="E158" s="70"/>
      <c r="F158" s="70"/>
      <c r="G158" s="71"/>
      <c r="H158" s="70"/>
      <c r="I158" s="70"/>
      <c r="J158" s="72"/>
    </row>
    <row r="159" spans="1:10" x14ac:dyDescent="0.2">
      <c r="A159" s="50" t="str">
        <f>IF(ISBLANK(RECAPITULATIF!A168),"",RECAPITULATIF!A168)</f>
        <v/>
      </c>
      <c r="B159" s="50" t="str">
        <f>IF(ISBLANK(RECAPITULATIF!B168),"",RECAPITULATIF!B168)</f>
        <v/>
      </c>
      <c r="C159" s="50" t="str">
        <f>IF(ISBLANK(RECAPITULATIF!C168),"",RECAPITULATIF!C168)</f>
        <v/>
      </c>
      <c r="D159" s="69"/>
      <c r="E159" s="70"/>
      <c r="F159" s="70"/>
      <c r="G159" s="71"/>
      <c r="H159" s="70"/>
      <c r="I159" s="70"/>
      <c r="J159" s="72"/>
    </row>
    <row r="160" spans="1:10" x14ac:dyDescent="0.2">
      <c r="A160" s="50" t="str">
        <f>IF(ISBLANK(RECAPITULATIF!A169),"",RECAPITULATIF!A169)</f>
        <v/>
      </c>
      <c r="B160" s="50" t="str">
        <f>IF(ISBLANK(RECAPITULATIF!B169),"",RECAPITULATIF!B169)</f>
        <v/>
      </c>
      <c r="C160" s="50" t="str">
        <f>IF(ISBLANK(RECAPITULATIF!C169),"",RECAPITULATIF!C169)</f>
        <v/>
      </c>
      <c r="D160" s="69"/>
      <c r="E160" s="70"/>
      <c r="F160" s="70"/>
      <c r="G160" s="71"/>
      <c r="H160" s="70"/>
      <c r="I160" s="70"/>
      <c r="J160" s="72"/>
    </row>
    <row r="161" spans="1:10" x14ac:dyDescent="0.2">
      <c r="A161" s="50" t="str">
        <f>IF(ISBLANK(RECAPITULATIF!A170),"",RECAPITULATIF!A170)</f>
        <v/>
      </c>
      <c r="B161" s="50" t="str">
        <f>IF(ISBLANK(RECAPITULATIF!B170),"",RECAPITULATIF!B170)</f>
        <v/>
      </c>
      <c r="C161" s="50" t="str">
        <f>IF(ISBLANK(RECAPITULATIF!C170),"",RECAPITULATIF!C170)</f>
        <v/>
      </c>
      <c r="D161" s="69"/>
      <c r="E161" s="70"/>
      <c r="F161" s="70"/>
      <c r="G161" s="71"/>
      <c r="H161" s="70"/>
      <c r="I161" s="70"/>
      <c r="J161" s="72"/>
    </row>
    <row r="162" spans="1:10" x14ac:dyDescent="0.2">
      <c r="A162" s="50" t="str">
        <f>IF(ISBLANK(RECAPITULATIF!A171),"",RECAPITULATIF!A171)</f>
        <v/>
      </c>
      <c r="B162" s="50" t="str">
        <f>IF(ISBLANK(RECAPITULATIF!B171),"",RECAPITULATIF!B171)</f>
        <v/>
      </c>
      <c r="C162" s="50" t="str">
        <f>IF(ISBLANK(RECAPITULATIF!C171),"",RECAPITULATIF!C171)</f>
        <v/>
      </c>
      <c r="D162" s="69"/>
      <c r="E162" s="70"/>
      <c r="F162" s="70"/>
      <c r="G162" s="71"/>
      <c r="H162" s="70"/>
      <c r="I162" s="70"/>
      <c r="J162" s="72"/>
    </row>
    <row r="163" spans="1:10" x14ac:dyDescent="0.2">
      <c r="A163" s="50" t="str">
        <f>IF(ISBLANK(RECAPITULATIF!A172),"",RECAPITULATIF!A172)</f>
        <v/>
      </c>
      <c r="B163" s="50" t="str">
        <f>IF(ISBLANK(RECAPITULATIF!B172),"",RECAPITULATIF!B172)</f>
        <v/>
      </c>
      <c r="C163" s="50" t="str">
        <f>IF(ISBLANK(RECAPITULATIF!C172),"",RECAPITULATIF!C172)</f>
        <v/>
      </c>
      <c r="D163" s="69"/>
      <c r="E163" s="70"/>
      <c r="F163" s="70"/>
      <c r="G163" s="71"/>
      <c r="H163" s="70"/>
      <c r="I163" s="70"/>
      <c r="J163" s="72"/>
    </row>
    <row r="164" spans="1:10" x14ac:dyDescent="0.2">
      <c r="A164" s="50" t="str">
        <f>IF(ISBLANK(RECAPITULATIF!A173),"",RECAPITULATIF!A173)</f>
        <v/>
      </c>
      <c r="B164" s="50" t="str">
        <f>IF(ISBLANK(RECAPITULATIF!B173),"",RECAPITULATIF!B173)</f>
        <v/>
      </c>
      <c r="C164" s="50" t="str">
        <f>IF(ISBLANK(RECAPITULATIF!C173),"",RECAPITULATIF!C173)</f>
        <v/>
      </c>
      <c r="D164" s="69"/>
      <c r="E164" s="70"/>
      <c r="F164" s="70"/>
      <c r="G164" s="71"/>
      <c r="H164" s="70"/>
      <c r="I164" s="70"/>
      <c r="J164" s="72"/>
    </row>
    <row r="165" spans="1:10" x14ac:dyDescent="0.2">
      <c r="A165" s="50" t="str">
        <f>IF(ISBLANK(RECAPITULATIF!A174),"",RECAPITULATIF!A174)</f>
        <v/>
      </c>
      <c r="B165" s="50" t="str">
        <f>IF(ISBLANK(RECAPITULATIF!B174),"",RECAPITULATIF!B174)</f>
        <v/>
      </c>
      <c r="C165" s="50" t="str">
        <f>IF(ISBLANK(RECAPITULATIF!C174),"",RECAPITULATIF!C174)</f>
        <v/>
      </c>
      <c r="D165" s="69"/>
      <c r="E165" s="70"/>
      <c r="F165" s="70"/>
      <c r="G165" s="71"/>
      <c r="H165" s="70"/>
      <c r="I165" s="70"/>
      <c r="J165" s="72"/>
    </row>
    <row r="166" spans="1:10" x14ac:dyDescent="0.2">
      <c r="A166" s="50" t="str">
        <f>IF(ISBLANK(RECAPITULATIF!A175),"",RECAPITULATIF!A175)</f>
        <v/>
      </c>
      <c r="B166" s="50" t="str">
        <f>IF(ISBLANK(RECAPITULATIF!B175),"",RECAPITULATIF!B175)</f>
        <v/>
      </c>
      <c r="C166" s="50" t="str">
        <f>IF(ISBLANK(RECAPITULATIF!C175),"",RECAPITULATIF!C175)</f>
        <v/>
      </c>
      <c r="D166" s="69"/>
      <c r="E166" s="70"/>
      <c r="F166" s="70"/>
      <c r="G166" s="71"/>
      <c r="H166" s="70"/>
      <c r="I166" s="70"/>
      <c r="J166" s="72"/>
    </row>
    <row r="167" spans="1:10" x14ac:dyDescent="0.2">
      <c r="A167" s="50" t="str">
        <f>IF(ISBLANK(RECAPITULATIF!A176),"",RECAPITULATIF!A176)</f>
        <v/>
      </c>
      <c r="B167" s="50" t="str">
        <f>IF(ISBLANK(RECAPITULATIF!B176),"",RECAPITULATIF!B176)</f>
        <v/>
      </c>
      <c r="C167" s="50" t="str">
        <f>IF(ISBLANK(RECAPITULATIF!C176),"",RECAPITULATIF!C176)</f>
        <v/>
      </c>
      <c r="D167" s="69"/>
      <c r="E167" s="70"/>
      <c r="F167" s="70"/>
      <c r="G167" s="71"/>
      <c r="H167" s="70"/>
      <c r="I167" s="70"/>
      <c r="J167" s="72"/>
    </row>
    <row r="168" spans="1:10" x14ac:dyDescent="0.2">
      <c r="A168" s="50" t="str">
        <f>IF(ISBLANK(RECAPITULATIF!A177),"",RECAPITULATIF!A177)</f>
        <v/>
      </c>
      <c r="B168" s="50" t="str">
        <f>IF(ISBLANK(RECAPITULATIF!B177),"",RECAPITULATIF!B177)</f>
        <v/>
      </c>
      <c r="C168" s="50" t="str">
        <f>IF(ISBLANK(RECAPITULATIF!C177),"",RECAPITULATIF!C177)</f>
        <v/>
      </c>
      <c r="D168" s="69"/>
      <c r="E168" s="70"/>
      <c r="F168" s="70"/>
      <c r="G168" s="71"/>
      <c r="H168" s="70"/>
      <c r="I168" s="70"/>
      <c r="J168" s="72"/>
    </row>
    <row r="169" spans="1:10" x14ac:dyDescent="0.2">
      <c r="A169" s="50" t="str">
        <f>IF(ISBLANK(RECAPITULATIF!A178),"",RECAPITULATIF!A178)</f>
        <v/>
      </c>
      <c r="B169" s="50" t="str">
        <f>IF(ISBLANK(RECAPITULATIF!B178),"",RECAPITULATIF!B178)</f>
        <v/>
      </c>
      <c r="C169" s="50" t="str">
        <f>IF(ISBLANK(RECAPITULATIF!C178),"",RECAPITULATIF!C178)</f>
        <v/>
      </c>
      <c r="D169" s="69"/>
      <c r="E169" s="70"/>
      <c r="F169" s="70"/>
      <c r="G169" s="71"/>
      <c r="H169" s="70"/>
      <c r="I169" s="70"/>
      <c r="J169" s="72"/>
    </row>
    <row r="170" spans="1:10" x14ac:dyDescent="0.2">
      <c r="A170" s="50" t="str">
        <f>IF(ISBLANK(RECAPITULATIF!A179),"",RECAPITULATIF!A179)</f>
        <v/>
      </c>
      <c r="B170" s="50" t="str">
        <f>IF(ISBLANK(RECAPITULATIF!B179),"",RECAPITULATIF!B179)</f>
        <v/>
      </c>
      <c r="C170" s="50" t="str">
        <f>IF(ISBLANK(RECAPITULATIF!C179),"",RECAPITULATIF!C179)</f>
        <v/>
      </c>
      <c r="D170" s="69"/>
      <c r="E170" s="70"/>
      <c r="F170" s="70"/>
      <c r="G170" s="71"/>
      <c r="H170" s="70"/>
      <c r="I170" s="70"/>
      <c r="J170" s="72"/>
    </row>
    <row r="171" spans="1:10" x14ac:dyDescent="0.2">
      <c r="A171" s="50" t="str">
        <f>IF(ISBLANK(RECAPITULATIF!A180),"",RECAPITULATIF!A180)</f>
        <v/>
      </c>
      <c r="B171" s="50" t="str">
        <f>IF(ISBLANK(RECAPITULATIF!B180),"",RECAPITULATIF!B180)</f>
        <v/>
      </c>
      <c r="C171" s="50" t="str">
        <f>IF(ISBLANK(RECAPITULATIF!C180),"",RECAPITULATIF!C180)</f>
        <v/>
      </c>
      <c r="D171" s="69"/>
      <c r="E171" s="70"/>
      <c r="F171" s="70"/>
      <c r="G171" s="71"/>
      <c r="H171" s="70"/>
      <c r="I171" s="70"/>
      <c r="J171" s="72"/>
    </row>
    <row r="172" spans="1:10" x14ac:dyDescent="0.2">
      <c r="A172" s="50" t="str">
        <f>IF(ISBLANK(RECAPITULATIF!A181),"",RECAPITULATIF!A181)</f>
        <v/>
      </c>
      <c r="B172" s="50" t="str">
        <f>IF(ISBLANK(RECAPITULATIF!B181),"",RECAPITULATIF!B181)</f>
        <v/>
      </c>
      <c r="C172" s="50" t="str">
        <f>IF(ISBLANK(RECAPITULATIF!C181),"",RECAPITULATIF!C181)</f>
        <v/>
      </c>
      <c r="D172" s="69"/>
      <c r="E172" s="70"/>
      <c r="F172" s="70"/>
      <c r="G172" s="71"/>
      <c r="H172" s="70"/>
      <c r="I172" s="70"/>
      <c r="J172" s="72"/>
    </row>
    <row r="173" spans="1:10" x14ac:dyDescent="0.2">
      <c r="A173" s="50" t="str">
        <f>IF(ISBLANK(RECAPITULATIF!A182),"",RECAPITULATIF!A182)</f>
        <v/>
      </c>
      <c r="B173" s="50" t="str">
        <f>IF(ISBLANK(RECAPITULATIF!B182),"",RECAPITULATIF!B182)</f>
        <v/>
      </c>
      <c r="C173" s="50" t="str">
        <f>IF(ISBLANK(RECAPITULATIF!C182),"",RECAPITULATIF!C182)</f>
        <v/>
      </c>
      <c r="D173" s="69"/>
      <c r="E173" s="70"/>
      <c r="F173" s="70"/>
      <c r="G173" s="71"/>
      <c r="H173" s="70"/>
      <c r="I173" s="70"/>
      <c r="J173" s="72"/>
    </row>
    <row r="174" spans="1:10" x14ac:dyDescent="0.2">
      <c r="A174" s="50" t="str">
        <f>IF(ISBLANK(RECAPITULATIF!A183),"",RECAPITULATIF!A183)</f>
        <v/>
      </c>
      <c r="B174" s="50" t="str">
        <f>IF(ISBLANK(RECAPITULATIF!B183),"",RECAPITULATIF!B183)</f>
        <v/>
      </c>
      <c r="C174" s="50" t="str">
        <f>IF(ISBLANK(RECAPITULATIF!C183),"",RECAPITULATIF!C183)</f>
        <v/>
      </c>
      <c r="D174" s="69"/>
      <c r="E174" s="70"/>
      <c r="F174" s="70"/>
      <c r="G174" s="71"/>
      <c r="H174" s="70"/>
      <c r="I174" s="70"/>
      <c r="J174" s="72"/>
    </row>
    <row r="175" spans="1:10" x14ac:dyDescent="0.2">
      <c r="A175" s="50" t="str">
        <f>IF(ISBLANK(RECAPITULATIF!A184),"",RECAPITULATIF!A184)</f>
        <v/>
      </c>
      <c r="B175" s="50" t="str">
        <f>IF(ISBLANK(RECAPITULATIF!B184),"",RECAPITULATIF!B184)</f>
        <v/>
      </c>
      <c r="C175" s="50" t="str">
        <f>IF(ISBLANK(RECAPITULATIF!C184),"",RECAPITULATIF!C184)</f>
        <v/>
      </c>
      <c r="D175" s="69"/>
      <c r="E175" s="70"/>
      <c r="F175" s="70"/>
      <c r="G175" s="71"/>
      <c r="H175" s="70"/>
      <c r="I175" s="70"/>
      <c r="J175" s="72"/>
    </row>
    <row r="176" spans="1:10" x14ac:dyDescent="0.2">
      <c r="A176" s="50" t="str">
        <f>IF(ISBLANK(RECAPITULATIF!A185),"",RECAPITULATIF!A185)</f>
        <v/>
      </c>
      <c r="B176" s="50" t="str">
        <f>IF(ISBLANK(RECAPITULATIF!B185),"",RECAPITULATIF!B185)</f>
        <v/>
      </c>
      <c r="C176" s="50" t="str">
        <f>IF(ISBLANK(RECAPITULATIF!C185),"",RECAPITULATIF!C185)</f>
        <v/>
      </c>
      <c r="D176" s="69"/>
      <c r="E176" s="70"/>
      <c r="F176" s="70"/>
      <c r="G176" s="71"/>
      <c r="H176" s="70"/>
      <c r="I176" s="70"/>
      <c r="J176" s="72"/>
    </row>
    <row r="177" spans="1:10" x14ac:dyDescent="0.2">
      <c r="A177" s="50" t="str">
        <f>IF(ISBLANK(RECAPITULATIF!A186),"",RECAPITULATIF!A186)</f>
        <v/>
      </c>
      <c r="B177" s="50" t="str">
        <f>IF(ISBLANK(RECAPITULATIF!B186),"",RECAPITULATIF!B186)</f>
        <v/>
      </c>
      <c r="C177" s="50" t="str">
        <f>IF(ISBLANK(RECAPITULATIF!C186),"",RECAPITULATIF!C186)</f>
        <v/>
      </c>
      <c r="D177" s="69"/>
      <c r="E177" s="70"/>
      <c r="F177" s="70"/>
      <c r="G177" s="71"/>
      <c r="H177" s="70"/>
      <c r="I177" s="70"/>
      <c r="J177" s="72"/>
    </row>
    <row r="178" spans="1:10" x14ac:dyDescent="0.2">
      <c r="A178" s="50" t="str">
        <f>IF(ISBLANK(RECAPITULATIF!A187),"",RECAPITULATIF!A187)</f>
        <v/>
      </c>
      <c r="B178" s="50" t="str">
        <f>IF(ISBLANK(RECAPITULATIF!B187),"",RECAPITULATIF!B187)</f>
        <v/>
      </c>
      <c r="C178" s="50" t="str">
        <f>IF(ISBLANK(RECAPITULATIF!C187),"",RECAPITULATIF!C187)</f>
        <v/>
      </c>
      <c r="D178" s="69"/>
      <c r="E178" s="70"/>
      <c r="F178" s="70"/>
      <c r="G178" s="71"/>
      <c r="H178" s="70"/>
      <c r="I178" s="70"/>
      <c r="J178" s="72"/>
    </row>
    <row r="179" spans="1:10" x14ac:dyDescent="0.2">
      <c r="A179" s="50" t="str">
        <f>IF(ISBLANK(RECAPITULATIF!A188),"",RECAPITULATIF!A188)</f>
        <v/>
      </c>
      <c r="B179" s="50" t="str">
        <f>IF(ISBLANK(RECAPITULATIF!B188),"",RECAPITULATIF!B188)</f>
        <v/>
      </c>
      <c r="C179" s="50" t="str">
        <f>IF(ISBLANK(RECAPITULATIF!C188),"",RECAPITULATIF!C188)</f>
        <v/>
      </c>
      <c r="D179" s="69"/>
      <c r="E179" s="70"/>
      <c r="F179" s="70"/>
      <c r="G179" s="71"/>
      <c r="H179" s="70"/>
      <c r="I179" s="70"/>
      <c r="J179" s="72"/>
    </row>
    <row r="180" spans="1:10" x14ac:dyDescent="0.2">
      <c r="A180" s="50" t="str">
        <f>IF(ISBLANK(RECAPITULATIF!A189),"",RECAPITULATIF!A189)</f>
        <v/>
      </c>
      <c r="B180" s="50" t="str">
        <f>IF(ISBLANK(RECAPITULATIF!B189),"",RECAPITULATIF!B189)</f>
        <v/>
      </c>
      <c r="C180" s="50" t="str">
        <f>IF(ISBLANK(RECAPITULATIF!C189),"",RECAPITULATIF!C189)</f>
        <v/>
      </c>
      <c r="D180" s="69"/>
      <c r="E180" s="70"/>
      <c r="F180" s="70"/>
      <c r="G180" s="71"/>
      <c r="H180" s="70"/>
      <c r="I180" s="70"/>
      <c r="J180" s="72"/>
    </row>
    <row r="181" spans="1:10" x14ac:dyDescent="0.2">
      <c r="A181" s="50" t="str">
        <f>IF(ISBLANK(RECAPITULATIF!A190),"",RECAPITULATIF!A190)</f>
        <v/>
      </c>
      <c r="B181" s="50" t="str">
        <f>IF(ISBLANK(RECAPITULATIF!B190),"",RECAPITULATIF!B190)</f>
        <v/>
      </c>
      <c r="C181" s="50" t="str">
        <f>IF(ISBLANK(RECAPITULATIF!C190),"",RECAPITULATIF!C190)</f>
        <v/>
      </c>
      <c r="D181" s="69"/>
      <c r="E181" s="70"/>
      <c r="F181" s="70"/>
      <c r="G181" s="71"/>
      <c r="H181" s="70"/>
      <c r="I181" s="70"/>
      <c r="J181" s="72"/>
    </row>
    <row r="182" spans="1:10" x14ac:dyDescent="0.2">
      <c r="A182" s="50" t="str">
        <f>IF(ISBLANK(RECAPITULATIF!A191),"",RECAPITULATIF!A191)</f>
        <v/>
      </c>
      <c r="B182" s="50" t="str">
        <f>IF(ISBLANK(RECAPITULATIF!B191),"",RECAPITULATIF!B191)</f>
        <v/>
      </c>
      <c r="C182" s="50" t="str">
        <f>IF(ISBLANK(RECAPITULATIF!C191),"",RECAPITULATIF!C191)</f>
        <v/>
      </c>
      <c r="D182" s="69"/>
      <c r="E182" s="70"/>
      <c r="F182" s="70"/>
      <c r="G182" s="71"/>
      <c r="H182" s="70"/>
      <c r="I182" s="70"/>
      <c r="J182" s="72"/>
    </row>
    <row r="183" spans="1:10" x14ac:dyDescent="0.2">
      <c r="A183" s="50" t="str">
        <f>IF(ISBLANK(RECAPITULATIF!A192),"",RECAPITULATIF!A192)</f>
        <v/>
      </c>
      <c r="B183" s="50" t="str">
        <f>IF(ISBLANK(RECAPITULATIF!B192),"",RECAPITULATIF!B192)</f>
        <v/>
      </c>
      <c r="C183" s="50" t="str">
        <f>IF(ISBLANK(RECAPITULATIF!C192),"",RECAPITULATIF!C192)</f>
        <v/>
      </c>
      <c r="D183" s="69"/>
      <c r="E183" s="70"/>
      <c r="F183" s="70"/>
      <c r="G183" s="71"/>
      <c r="H183" s="70"/>
      <c r="I183" s="70"/>
      <c r="J183" s="72"/>
    </row>
    <row r="184" spans="1:10" x14ac:dyDescent="0.2">
      <c r="A184" s="50" t="str">
        <f>IF(ISBLANK(RECAPITULATIF!A193),"",RECAPITULATIF!A193)</f>
        <v/>
      </c>
      <c r="B184" s="50" t="str">
        <f>IF(ISBLANK(RECAPITULATIF!B193),"",RECAPITULATIF!B193)</f>
        <v/>
      </c>
      <c r="C184" s="50" t="str">
        <f>IF(ISBLANK(RECAPITULATIF!C193),"",RECAPITULATIF!C193)</f>
        <v/>
      </c>
      <c r="D184" s="69"/>
      <c r="E184" s="70"/>
      <c r="F184" s="70"/>
      <c r="G184" s="71"/>
      <c r="H184" s="70"/>
      <c r="I184" s="70"/>
      <c r="J184" s="72"/>
    </row>
    <row r="185" spans="1:10" x14ac:dyDescent="0.2">
      <c r="A185" s="50" t="str">
        <f>IF(ISBLANK(RECAPITULATIF!A194),"",RECAPITULATIF!A194)</f>
        <v/>
      </c>
      <c r="B185" s="50" t="str">
        <f>IF(ISBLANK(RECAPITULATIF!B194),"",RECAPITULATIF!B194)</f>
        <v/>
      </c>
      <c r="C185" s="50" t="str">
        <f>IF(ISBLANK(RECAPITULATIF!C194),"",RECAPITULATIF!C194)</f>
        <v/>
      </c>
      <c r="D185" s="69"/>
      <c r="E185" s="70"/>
      <c r="F185" s="70"/>
      <c r="G185" s="71"/>
      <c r="H185" s="70"/>
      <c r="I185" s="70"/>
      <c r="J185" s="72"/>
    </row>
    <row r="186" spans="1:10" x14ac:dyDescent="0.2">
      <c r="A186" s="50" t="str">
        <f>IF(ISBLANK(RECAPITULATIF!A195),"",RECAPITULATIF!A195)</f>
        <v/>
      </c>
      <c r="B186" s="50" t="str">
        <f>IF(ISBLANK(RECAPITULATIF!B195),"",RECAPITULATIF!B195)</f>
        <v/>
      </c>
      <c r="C186" s="50" t="str">
        <f>IF(ISBLANK(RECAPITULATIF!C195),"",RECAPITULATIF!C195)</f>
        <v/>
      </c>
      <c r="D186" s="69"/>
      <c r="E186" s="70"/>
      <c r="F186" s="70"/>
      <c r="G186" s="71"/>
      <c r="H186" s="70"/>
      <c r="I186" s="70"/>
      <c r="J186" s="72"/>
    </row>
    <row r="187" spans="1:10" x14ac:dyDescent="0.2">
      <c r="A187" s="50" t="str">
        <f>IF(ISBLANK(RECAPITULATIF!A196),"",RECAPITULATIF!A196)</f>
        <v/>
      </c>
      <c r="B187" s="50" t="str">
        <f>IF(ISBLANK(RECAPITULATIF!B196),"",RECAPITULATIF!B196)</f>
        <v/>
      </c>
      <c r="C187" s="50" t="str">
        <f>IF(ISBLANK(RECAPITULATIF!C196),"",RECAPITULATIF!C196)</f>
        <v/>
      </c>
      <c r="D187" s="69"/>
      <c r="E187" s="70"/>
      <c r="F187" s="70"/>
      <c r="G187" s="71"/>
      <c r="H187" s="70"/>
      <c r="I187" s="70"/>
      <c r="J187" s="72"/>
    </row>
    <row r="188" spans="1:10" x14ac:dyDescent="0.2">
      <c r="A188" s="50" t="str">
        <f>IF(ISBLANK(RECAPITULATIF!A197),"",RECAPITULATIF!A197)</f>
        <v/>
      </c>
      <c r="B188" s="50" t="str">
        <f>IF(ISBLANK(RECAPITULATIF!B197),"",RECAPITULATIF!B197)</f>
        <v/>
      </c>
      <c r="C188" s="50" t="str">
        <f>IF(ISBLANK(RECAPITULATIF!C197),"",RECAPITULATIF!C197)</f>
        <v/>
      </c>
      <c r="D188" s="69"/>
      <c r="E188" s="70"/>
      <c r="F188" s="70"/>
      <c r="G188" s="71"/>
      <c r="H188" s="70"/>
      <c r="I188" s="70"/>
      <c r="J188" s="72"/>
    </row>
    <row r="189" spans="1:10" x14ac:dyDescent="0.2">
      <c r="A189" s="50" t="str">
        <f>IF(ISBLANK(RECAPITULATIF!A198),"",RECAPITULATIF!A198)</f>
        <v/>
      </c>
      <c r="B189" s="50" t="str">
        <f>IF(ISBLANK(RECAPITULATIF!B198),"",RECAPITULATIF!B198)</f>
        <v/>
      </c>
      <c r="C189" s="50" t="str">
        <f>IF(ISBLANK(RECAPITULATIF!C198),"",RECAPITULATIF!C198)</f>
        <v/>
      </c>
      <c r="D189" s="69"/>
      <c r="E189" s="70"/>
      <c r="F189" s="70"/>
      <c r="G189" s="71"/>
      <c r="H189" s="70"/>
      <c r="I189" s="70"/>
      <c r="J189" s="72"/>
    </row>
    <row r="190" spans="1:10" x14ac:dyDescent="0.2">
      <c r="A190" s="50" t="str">
        <f>IF(ISBLANK(RECAPITULATIF!A199),"",RECAPITULATIF!A199)</f>
        <v/>
      </c>
      <c r="B190" s="50" t="str">
        <f>IF(ISBLANK(RECAPITULATIF!B199),"",RECAPITULATIF!B199)</f>
        <v/>
      </c>
      <c r="C190" s="50" t="str">
        <f>IF(ISBLANK(RECAPITULATIF!C199),"",RECAPITULATIF!C199)</f>
        <v/>
      </c>
      <c r="D190" s="69"/>
      <c r="E190" s="70"/>
      <c r="F190" s="70"/>
      <c r="G190" s="71"/>
      <c r="H190" s="70"/>
      <c r="I190" s="70"/>
      <c r="J190" s="72"/>
    </row>
    <row r="191" spans="1:10" x14ac:dyDescent="0.2">
      <c r="A191" s="50" t="str">
        <f>IF(ISBLANK(RECAPITULATIF!A200),"",RECAPITULATIF!A200)</f>
        <v/>
      </c>
      <c r="B191" s="50" t="str">
        <f>IF(ISBLANK(RECAPITULATIF!B200),"",RECAPITULATIF!B200)</f>
        <v/>
      </c>
      <c r="C191" s="50" t="str">
        <f>IF(ISBLANK(RECAPITULATIF!C200),"",RECAPITULATIF!C200)</f>
        <v/>
      </c>
      <c r="D191" s="69"/>
      <c r="E191" s="70"/>
      <c r="F191" s="70"/>
      <c r="G191" s="71"/>
      <c r="H191" s="70"/>
      <c r="I191" s="70"/>
      <c r="J191" s="72"/>
    </row>
    <row r="192" spans="1:10" x14ac:dyDescent="0.2">
      <c r="A192" s="50" t="str">
        <f>IF(ISBLANK(RECAPITULATIF!A201),"",RECAPITULATIF!A201)</f>
        <v/>
      </c>
      <c r="B192" s="50" t="str">
        <f>IF(ISBLANK(RECAPITULATIF!B201),"",RECAPITULATIF!B201)</f>
        <v/>
      </c>
      <c r="C192" s="50" t="str">
        <f>IF(ISBLANK(RECAPITULATIF!C201),"",RECAPITULATIF!C201)</f>
        <v/>
      </c>
      <c r="D192" s="69"/>
      <c r="E192" s="70"/>
      <c r="F192" s="70"/>
      <c r="G192" s="71"/>
      <c r="H192" s="70"/>
      <c r="I192" s="70"/>
      <c r="J192" s="72"/>
    </row>
    <row r="193" spans="1:10" x14ac:dyDescent="0.2">
      <c r="A193" s="50" t="str">
        <f>IF(ISBLANK(RECAPITULATIF!A202),"",RECAPITULATIF!A202)</f>
        <v/>
      </c>
      <c r="B193" s="50" t="str">
        <f>IF(ISBLANK(RECAPITULATIF!B202),"",RECAPITULATIF!B202)</f>
        <v/>
      </c>
      <c r="C193" s="50" t="str">
        <f>IF(ISBLANK(RECAPITULATIF!C202),"",RECAPITULATIF!C202)</f>
        <v/>
      </c>
      <c r="D193" s="69"/>
      <c r="E193" s="70"/>
      <c r="F193" s="70"/>
      <c r="G193" s="71"/>
      <c r="H193" s="70"/>
      <c r="I193" s="70"/>
      <c r="J193" s="72"/>
    </row>
    <row r="194" spans="1:10" x14ac:dyDescent="0.2">
      <c r="A194" s="50" t="str">
        <f>IF(ISBLANK(RECAPITULATIF!A203),"",RECAPITULATIF!A203)</f>
        <v/>
      </c>
      <c r="B194" s="50" t="str">
        <f>IF(ISBLANK(RECAPITULATIF!B203),"",RECAPITULATIF!B203)</f>
        <v/>
      </c>
      <c r="C194" s="50" t="str">
        <f>IF(ISBLANK(RECAPITULATIF!C203),"",RECAPITULATIF!C203)</f>
        <v/>
      </c>
      <c r="D194" s="69"/>
      <c r="E194" s="70"/>
      <c r="F194" s="70"/>
      <c r="G194" s="71"/>
      <c r="H194" s="70"/>
      <c r="I194" s="70"/>
      <c r="J194" s="72"/>
    </row>
    <row r="195" spans="1:10" x14ac:dyDescent="0.2">
      <c r="A195" s="50" t="str">
        <f>IF(ISBLANK(RECAPITULATIF!A204),"",RECAPITULATIF!A204)</f>
        <v/>
      </c>
      <c r="B195" s="50" t="str">
        <f>IF(ISBLANK(RECAPITULATIF!B204),"",RECAPITULATIF!B204)</f>
        <v/>
      </c>
      <c r="C195" s="50" t="str">
        <f>IF(ISBLANK(RECAPITULATIF!C204),"",RECAPITULATIF!C204)</f>
        <v/>
      </c>
      <c r="D195" s="69"/>
      <c r="E195" s="70"/>
      <c r="F195" s="70"/>
      <c r="G195" s="71"/>
      <c r="H195" s="70"/>
      <c r="I195" s="70"/>
      <c r="J195" s="72"/>
    </row>
    <row r="196" spans="1:10" x14ac:dyDescent="0.2">
      <c r="A196" s="50" t="str">
        <f>IF(ISBLANK(RECAPITULATIF!A205),"",RECAPITULATIF!A205)</f>
        <v/>
      </c>
      <c r="B196" s="50" t="str">
        <f>IF(ISBLANK(RECAPITULATIF!B205),"",RECAPITULATIF!B205)</f>
        <v/>
      </c>
      <c r="C196" s="50" t="str">
        <f>IF(ISBLANK(RECAPITULATIF!C205),"",RECAPITULATIF!C205)</f>
        <v/>
      </c>
      <c r="D196" s="69"/>
      <c r="E196" s="70"/>
      <c r="F196" s="70"/>
      <c r="G196" s="71"/>
      <c r="H196" s="70"/>
      <c r="I196" s="70"/>
      <c r="J196" s="72"/>
    </row>
    <row r="197" spans="1:10" x14ac:dyDescent="0.2">
      <c r="A197" s="50" t="str">
        <f>IF(ISBLANK(RECAPITULATIF!A206),"",RECAPITULATIF!A206)</f>
        <v/>
      </c>
      <c r="B197" s="50" t="str">
        <f>IF(ISBLANK(RECAPITULATIF!B206),"",RECAPITULATIF!B206)</f>
        <v/>
      </c>
      <c r="C197" s="50" t="str">
        <f>IF(ISBLANK(RECAPITULATIF!C206),"",RECAPITULATIF!C206)</f>
        <v/>
      </c>
      <c r="D197" s="69"/>
      <c r="E197" s="70"/>
      <c r="F197" s="70"/>
      <c r="G197" s="71"/>
      <c r="H197" s="70"/>
      <c r="I197" s="70"/>
      <c r="J197" s="72"/>
    </row>
    <row r="198" spans="1:10" x14ac:dyDescent="0.2">
      <c r="A198" s="50" t="str">
        <f>IF(ISBLANK(RECAPITULATIF!A207),"",RECAPITULATIF!A207)</f>
        <v/>
      </c>
      <c r="B198" s="50" t="str">
        <f>IF(ISBLANK(RECAPITULATIF!B207),"",RECAPITULATIF!B207)</f>
        <v/>
      </c>
      <c r="C198" s="50" t="str">
        <f>IF(ISBLANK(RECAPITULATIF!C207),"",RECAPITULATIF!C207)</f>
        <v/>
      </c>
      <c r="D198" s="69"/>
      <c r="E198" s="70"/>
      <c r="F198" s="70"/>
      <c r="G198" s="71"/>
      <c r="H198" s="70"/>
      <c r="I198" s="70"/>
      <c r="J198" s="72"/>
    </row>
    <row r="199" spans="1:10" x14ac:dyDescent="0.2">
      <c r="A199" s="50" t="str">
        <f>IF(ISBLANK(RECAPITULATIF!A208),"",RECAPITULATIF!A208)</f>
        <v/>
      </c>
      <c r="B199" s="50" t="str">
        <f>IF(ISBLANK(RECAPITULATIF!B208),"",RECAPITULATIF!B208)</f>
        <v/>
      </c>
      <c r="C199" s="50" t="str">
        <f>IF(ISBLANK(RECAPITULATIF!C208),"",RECAPITULATIF!C208)</f>
        <v/>
      </c>
      <c r="D199" s="69"/>
      <c r="E199" s="70"/>
      <c r="F199" s="70"/>
      <c r="G199" s="71"/>
      <c r="H199" s="70"/>
      <c r="I199" s="70"/>
      <c r="J199" s="72"/>
    </row>
    <row r="200" spans="1:10" x14ac:dyDescent="0.2">
      <c r="A200" s="50" t="str">
        <f>IF(ISBLANK(RECAPITULATIF!A209),"",RECAPITULATIF!A209)</f>
        <v/>
      </c>
      <c r="B200" s="50" t="str">
        <f>IF(ISBLANK(RECAPITULATIF!B209),"",RECAPITULATIF!B209)</f>
        <v/>
      </c>
      <c r="C200" s="50" t="str">
        <f>IF(ISBLANK(RECAPITULATIF!C209),"",RECAPITULATIF!C209)</f>
        <v/>
      </c>
      <c r="D200" s="69"/>
      <c r="E200" s="70"/>
      <c r="F200" s="70"/>
      <c r="G200" s="71"/>
      <c r="H200" s="70"/>
      <c r="I200" s="70"/>
      <c r="J200" s="72"/>
    </row>
    <row r="201" spans="1:10" x14ac:dyDescent="0.2">
      <c r="A201" s="50" t="str">
        <f>IF(ISBLANK(RECAPITULATIF!A210),"",RECAPITULATIF!A210)</f>
        <v/>
      </c>
      <c r="B201" s="50" t="str">
        <f>IF(ISBLANK(RECAPITULATIF!B210),"",RECAPITULATIF!B210)</f>
        <v/>
      </c>
      <c r="C201" s="50" t="str">
        <f>IF(ISBLANK(RECAPITULATIF!C210),"",RECAPITULATIF!C210)</f>
        <v/>
      </c>
      <c r="D201" s="69"/>
      <c r="E201" s="70"/>
      <c r="F201" s="70"/>
      <c r="G201" s="71"/>
      <c r="H201" s="70"/>
      <c r="I201" s="70"/>
      <c r="J201" s="72"/>
    </row>
    <row r="202" spans="1:10" x14ac:dyDescent="0.2">
      <c r="A202" s="50" t="str">
        <f>IF(ISBLANK(RECAPITULATIF!A211),"",RECAPITULATIF!A211)</f>
        <v/>
      </c>
      <c r="B202" s="50" t="str">
        <f>IF(ISBLANK(RECAPITULATIF!B211),"",RECAPITULATIF!B211)</f>
        <v/>
      </c>
      <c r="C202" s="50" t="str">
        <f>IF(ISBLANK(RECAPITULATIF!C211),"",RECAPITULATIF!C211)</f>
        <v/>
      </c>
      <c r="D202" s="69"/>
      <c r="E202" s="70"/>
      <c r="F202" s="70"/>
      <c r="G202" s="71"/>
      <c r="H202" s="70"/>
      <c r="I202" s="70"/>
      <c r="J202" s="72"/>
    </row>
    <row r="203" spans="1:10" x14ac:dyDescent="0.2">
      <c r="A203" s="50" t="str">
        <f>IF(ISBLANK(RECAPITULATIF!A212),"",RECAPITULATIF!A212)</f>
        <v/>
      </c>
      <c r="B203" s="50" t="str">
        <f>IF(ISBLANK(RECAPITULATIF!B212),"",RECAPITULATIF!B212)</f>
        <v/>
      </c>
      <c r="C203" s="50" t="str">
        <f>IF(ISBLANK(RECAPITULATIF!C212),"",RECAPITULATIF!C212)</f>
        <v/>
      </c>
      <c r="D203" s="69"/>
      <c r="E203" s="70"/>
      <c r="F203" s="70"/>
      <c r="G203" s="71"/>
      <c r="H203" s="70"/>
      <c r="I203" s="70"/>
      <c r="J203" s="72"/>
    </row>
    <row r="204" spans="1:10" x14ac:dyDescent="0.2">
      <c r="A204" s="50" t="str">
        <f>IF(ISBLANK(RECAPITULATIF!A213),"",RECAPITULATIF!A213)</f>
        <v/>
      </c>
      <c r="B204" s="50" t="str">
        <f>IF(ISBLANK(RECAPITULATIF!B213),"",RECAPITULATIF!B213)</f>
        <v/>
      </c>
      <c r="C204" s="50" t="str">
        <f>IF(ISBLANK(RECAPITULATIF!C213),"",RECAPITULATIF!C213)</f>
        <v/>
      </c>
      <c r="D204" s="69"/>
      <c r="E204" s="70"/>
      <c r="F204" s="70"/>
      <c r="G204" s="71"/>
      <c r="H204" s="70"/>
      <c r="I204" s="70"/>
      <c r="J204" s="72"/>
    </row>
    <row r="205" spans="1:10" x14ac:dyDescent="0.2">
      <c r="A205" s="50" t="str">
        <f>IF(ISBLANK(RECAPITULATIF!A214),"",RECAPITULATIF!A214)</f>
        <v/>
      </c>
      <c r="B205" s="50" t="str">
        <f>IF(ISBLANK(RECAPITULATIF!B214),"",RECAPITULATIF!B214)</f>
        <v/>
      </c>
      <c r="C205" s="50" t="str">
        <f>IF(ISBLANK(RECAPITULATIF!C214),"",RECAPITULATIF!C214)</f>
        <v/>
      </c>
      <c r="D205" s="69"/>
      <c r="E205" s="70"/>
      <c r="F205" s="70"/>
      <c r="G205" s="71"/>
      <c r="H205" s="70"/>
      <c r="I205" s="70"/>
      <c r="J205" s="72"/>
    </row>
    <row r="206" spans="1:10" x14ac:dyDescent="0.2">
      <c r="A206" s="50" t="str">
        <f>IF(ISBLANK(RECAPITULATIF!A215),"",RECAPITULATIF!A215)</f>
        <v/>
      </c>
      <c r="B206" s="50" t="str">
        <f>IF(ISBLANK(RECAPITULATIF!B215),"",RECAPITULATIF!B215)</f>
        <v/>
      </c>
      <c r="C206" s="50" t="str">
        <f>IF(ISBLANK(RECAPITULATIF!C215),"",RECAPITULATIF!C215)</f>
        <v/>
      </c>
      <c r="D206" s="69"/>
      <c r="E206" s="70"/>
      <c r="F206" s="70"/>
      <c r="G206" s="71"/>
      <c r="H206" s="70"/>
      <c r="I206" s="70"/>
      <c r="J206" s="72"/>
    </row>
    <row r="207" spans="1:10" x14ac:dyDescent="0.2">
      <c r="A207" s="50" t="str">
        <f>IF(ISBLANK(RECAPITULATIF!A216),"",RECAPITULATIF!A216)</f>
        <v/>
      </c>
      <c r="B207" s="50" t="str">
        <f>IF(ISBLANK(RECAPITULATIF!B216),"",RECAPITULATIF!B216)</f>
        <v/>
      </c>
      <c r="C207" s="50" t="str">
        <f>IF(ISBLANK(RECAPITULATIF!C216),"",RECAPITULATIF!C216)</f>
        <v/>
      </c>
      <c r="D207" s="69"/>
      <c r="E207" s="70"/>
      <c r="F207" s="70"/>
      <c r="G207" s="71"/>
      <c r="H207" s="70"/>
      <c r="I207" s="70"/>
      <c r="J207" s="72"/>
    </row>
    <row r="208" spans="1:10" x14ac:dyDescent="0.2">
      <c r="A208" s="50" t="str">
        <f>IF(ISBLANK(RECAPITULATIF!A217),"",RECAPITULATIF!A217)</f>
        <v/>
      </c>
      <c r="B208" s="50" t="str">
        <f>IF(ISBLANK(RECAPITULATIF!B217),"",RECAPITULATIF!B217)</f>
        <v/>
      </c>
      <c r="C208" s="50" t="str">
        <f>IF(ISBLANK(RECAPITULATIF!C217),"",RECAPITULATIF!C217)</f>
        <v/>
      </c>
      <c r="D208" s="69"/>
      <c r="E208" s="70"/>
      <c r="F208" s="70"/>
      <c r="G208" s="71"/>
      <c r="H208" s="70"/>
      <c r="I208" s="70"/>
      <c r="J208" s="72"/>
    </row>
    <row r="209" spans="1:10" x14ac:dyDescent="0.2">
      <c r="A209" s="50" t="str">
        <f>IF(ISBLANK(RECAPITULATIF!A218),"",RECAPITULATIF!A218)</f>
        <v/>
      </c>
      <c r="B209" s="50" t="str">
        <f>IF(ISBLANK(RECAPITULATIF!B218),"",RECAPITULATIF!B218)</f>
        <v/>
      </c>
      <c r="C209" s="50" t="str">
        <f>IF(ISBLANK(RECAPITULATIF!C218),"",RECAPITULATIF!C218)</f>
        <v/>
      </c>
      <c r="D209" s="69"/>
      <c r="E209" s="70"/>
      <c r="F209" s="70"/>
      <c r="G209" s="71"/>
      <c r="H209" s="70"/>
      <c r="I209" s="70"/>
      <c r="J209" s="72"/>
    </row>
    <row r="210" spans="1:10" x14ac:dyDescent="0.2">
      <c r="A210" s="50" t="str">
        <f>IF(ISBLANK(RECAPITULATIF!A219),"",RECAPITULATIF!A219)</f>
        <v/>
      </c>
      <c r="B210" s="50" t="str">
        <f>IF(ISBLANK(RECAPITULATIF!B219),"",RECAPITULATIF!B219)</f>
        <v/>
      </c>
      <c r="C210" s="50" t="str">
        <f>IF(ISBLANK(RECAPITULATIF!C219),"",RECAPITULATIF!C219)</f>
        <v/>
      </c>
      <c r="D210" s="69"/>
      <c r="E210" s="70"/>
      <c r="F210" s="70"/>
      <c r="G210" s="71"/>
      <c r="H210" s="70"/>
      <c r="I210" s="70"/>
      <c r="J210" s="72"/>
    </row>
    <row r="211" spans="1:10" x14ac:dyDescent="0.2">
      <c r="A211" s="50" t="str">
        <f>IF(ISBLANK(RECAPITULATIF!A220),"",RECAPITULATIF!A220)</f>
        <v/>
      </c>
      <c r="B211" s="50" t="str">
        <f>IF(ISBLANK(RECAPITULATIF!B220),"",RECAPITULATIF!B220)</f>
        <v/>
      </c>
      <c r="C211" s="50" t="str">
        <f>IF(ISBLANK(RECAPITULATIF!C220),"",RECAPITULATIF!C220)</f>
        <v/>
      </c>
      <c r="D211" s="69"/>
      <c r="E211" s="70"/>
      <c r="F211" s="70"/>
      <c r="G211" s="71"/>
      <c r="H211" s="70"/>
      <c r="I211" s="70"/>
      <c r="J211" s="72"/>
    </row>
    <row r="212" spans="1:10" x14ac:dyDescent="0.2">
      <c r="A212" s="50" t="str">
        <f>IF(ISBLANK(RECAPITULATIF!A221),"",RECAPITULATIF!A221)</f>
        <v/>
      </c>
      <c r="B212" s="50" t="str">
        <f>IF(ISBLANK(RECAPITULATIF!B221),"",RECAPITULATIF!B221)</f>
        <v/>
      </c>
      <c r="C212" s="50" t="str">
        <f>IF(ISBLANK(RECAPITULATIF!C221),"",RECAPITULATIF!C221)</f>
        <v/>
      </c>
      <c r="D212" s="69"/>
      <c r="E212" s="70"/>
      <c r="F212" s="70"/>
      <c r="G212" s="71"/>
      <c r="H212" s="70"/>
      <c r="I212" s="70"/>
      <c r="J212" s="72"/>
    </row>
    <row r="213" spans="1:10" x14ac:dyDescent="0.2">
      <c r="A213" s="50" t="str">
        <f>IF(ISBLANK(RECAPITULATIF!A222),"",RECAPITULATIF!A222)</f>
        <v/>
      </c>
      <c r="B213" s="50" t="str">
        <f>IF(ISBLANK(RECAPITULATIF!B222),"",RECAPITULATIF!B222)</f>
        <v/>
      </c>
      <c r="C213" s="50" t="str">
        <f>IF(ISBLANK(RECAPITULATIF!C222),"",RECAPITULATIF!C222)</f>
        <v/>
      </c>
      <c r="D213" s="69"/>
      <c r="E213" s="70"/>
      <c r="F213" s="70"/>
      <c r="G213" s="71"/>
      <c r="H213" s="70"/>
      <c r="I213" s="70"/>
      <c r="J213" s="72"/>
    </row>
    <row r="214" spans="1:10" x14ac:dyDescent="0.2">
      <c r="A214" s="50" t="str">
        <f>IF(ISBLANK(RECAPITULATIF!A223),"",RECAPITULATIF!A223)</f>
        <v/>
      </c>
      <c r="B214" s="50" t="str">
        <f>IF(ISBLANK(RECAPITULATIF!B223),"",RECAPITULATIF!B223)</f>
        <v/>
      </c>
      <c r="C214" s="50" t="str">
        <f>IF(ISBLANK(RECAPITULATIF!C223),"",RECAPITULATIF!C223)</f>
        <v/>
      </c>
      <c r="D214" s="69"/>
      <c r="E214" s="70"/>
      <c r="F214" s="70"/>
      <c r="G214" s="71"/>
      <c r="H214" s="70"/>
      <c r="I214" s="70"/>
      <c r="J214" s="72"/>
    </row>
    <row r="215" spans="1:10" x14ac:dyDescent="0.2">
      <c r="A215" s="50" t="str">
        <f>IF(ISBLANK(RECAPITULATIF!A224),"",RECAPITULATIF!A224)</f>
        <v/>
      </c>
      <c r="B215" s="50" t="str">
        <f>IF(ISBLANK(RECAPITULATIF!B224),"",RECAPITULATIF!B224)</f>
        <v/>
      </c>
      <c r="C215" s="50" t="str">
        <f>IF(ISBLANK(RECAPITULATIF!C224),"",RECAPITULATIF!C224)</f>
        <v/>
      </c>
      <c r="D215" s="69"/>
      <c r="E215" s="70"/>
      <c r="F215" s="70"/>
      <c r="G215" s="71"/>
      <c r="H215" s="70"/>
      <c r="I215" s="70"/>
      <c r="J215" s="72"/>
    </row>
    <row r="216" spans="1:10" x14ac:dyDescent="0.2">
      <c r="A216" s="50" t="str">
        <f>IF(ISBLANK(RECAPITULATIF!A225),"",RECAPITULATIF!A225)</f>
        <v/>
      </c>
      <c r="B216" s="50" t="str">
        <f>IF(ISBLANK(RECAPITULATIF!B225),"",RECAPITULATIF!B225)</f>
        <v/>
      </c>
      <c r="C216" s="50" t="str">
        <f>IF(ISBLANK(RECAPITULATIF!C225),"",RECAPITULATIF!C225)</f>
        <v/>
      </c>
      <c r="D216" s="69"/>
      <c r="E216" s="70"/>
      <c r="F216" s="70"/>
      <c r="G216" s="71"/>
      <c r="H216" s="70"/>
      <c r="I216" s="70"/>
      <c r="J216" s="72"/>
    </row>
    <row r="217" spans="1:10" x14ac:dyDescent="0.2">
      <c r="A217" s="50" t="str">
        <f>IF(ISBLANK(RECAPITULATIF!A226),"",RECAPITULATIF!A226)</f>
        <v/>
      </c>
      <c r="B217" s="50" t="str">
        <f>IF(ISBLANK(RECAPITULATIF!B226),"",RECAPITULATIF!B226)</f>
        <v/>
      </c>
      <c r="C217" s="50" t="str">
        <f>IF(ISBLANK(RECAPITULATIF!C226),"",RECAPITULATIF!C226)</f>
        <v/>
      </c>
      <c r="D217" s="69"/>
      <c r="E217" s="70"/>
      <c r="F217" s="70"/>
      <c r="G217" s="71"/>
      <c r="H217" s="70"/>
      <c r="I217" s="70"/>
      <c r="J217" s="72"/>
    </row>
    <row r="218" spans="1:10" x14ac:dyDescent="0.2">
      <c r="A218" s="50" t="str">
        <f>IF(ISBLANK(RECAPITULATIF!A227),"",RECAPITULATIF!A227)</f>
        <v/>
      </c>
      <c r="B218" s="50" t="str">
        <f>IF(ISBLANK(RECAPITULATIF!B227),"",RECAPITULATIF!B227)</f>
        <v/>
      </c>
      <c r="C218" s="50" t="str">
        <f>IF(ISBLANK(RECAPITULATIF!C227),"",RECAPITULATIF!C227)</f>
        <v/>
      </c>
      <c r="D218" s="69"/>
      <c r="E218" s="70"/>
      <c r="F218" s="70"/>
      <c r="G218" s="71"/>
      <c r="H218" s="70"/>
      <c r="I218" s="70"/>
      <c r="J218" s="72"/>
    </row>
    <row r="219" spans="1:10" x14ac:dyDescent="0.2">
      <c r="A219" s="50" t="str">
        <f>IF(ISBLANK(RECAPITULATIF!A228),"",RECAPITULATIF!A228)</f>
        <v/>
      </c>
      <c r="B219" s="50" t="str">
        <f>IF(ISBLANK(RECAPITULATIF!B228),"",RECAPITULATIF!B228)</f>
        <v/>
      </c>
      <c r="C219" s="50" t="str">
        <f>IF(ISBLANK(RECAPITULATIF!C228),"",RECAPITULATIF!C228)</f>
        <v/>
      </c>
      <c r="D219" s="69"/>
      <c r="E219" s="70"/>
      <c r="F219" s="70"/>
      <c r="G219" s="71"/>
      <c r="H219" s="70"/>
      <c r="I219" s="70"/>
      <c r="J219" s="72"/>
    </row>
    <row r="220" spans="1:10" x14ac:dyDescent="0.2">
      <c r="A220" s="50" t="str">
        <f>IF(ISBLANK(RECAPITULATIF!A229),"",RECAPITULATIF!A229)</f>
        <v/>
      </c>
      <c r="B220" s="50" t="str">
        <f>IF(ISBLANK(RECAPITULATIF!B229),"",RECAPITULATIF!B229)</f>
        <v/>
      </c>
      <c r="C220" s="50" t="str">
        <f>IF(ISBLANK(RECAPITULATIF!C229),"",RECAPITULATIF!C229)</f>
        <v/>
      </c>
      <c r="D220" s="69"/>
      <c r="E220" s="70"/>
      <c r="F220" s="70"/>
      <c r="G220" s="71"/>
      <c r="H220" s="70"/>
      <c r="I220" s="70"/>
      <c r="J220" s="72"/>
    </row>
    <row r="221" spans="1:10" x14ac:dyDescent="0.2">
      <c r="A221" s="50" t="str">
        <f>IF(ISBLANK(RECAPITULATIF!A230),"",RECAPITULATIF!A230)</f>
        <v/>
      </c>
      <c r="B221" s="50" t="str">
        <f>IF(ISBLANK(RECAPITULATIF!B230),"",RECAPITULATIF!B230)</f>
        <v/>
      </c>
      <c r="C221" s="50" t="str">
        <f>IF(ISBLANK(RECAPITULATIF!C230),"",RECAPITULATIF!C230)</f>
        <v/>
      </c>
      <c r="D221" s="69"/>
      <c r="E221" s="70"/>
      <c r="F221" s="70"/>
      <c r="G221" s="71"/>
      <c r="H221" s="70"/>
      <c r="I221" s="70"/>
      <c r="J221" s="72"/>
    </row>
    <row r="222" spans="1:10" x14ac:dyDescent="0.2">
      <c r="A222" s="50" t="str">
        <f>IF(ISBLANK(RECAPITULATIF!A231),"",RECAPITULATIF!A231)</f>
        <v/>
      </c>
      <c r="B222" s="50" t="str">
        <f>IF(ISBLANK(RECAPITULATIF!B231),"",RECAPITULATIF!B231)</f>
        <v/>
      </c>
      <c r="C222" s="50" t="str">
        <f>IF(ISBLANK(RECAPITULATIF!C231),"",RECAPITULATIF!C231)</f>
        <v/>
      </c>
      <c r="D222" s="69"/>
      <c r="E222" s="70"/>
      <c r="F222" s="70"/>
      <c r="G222" s="71"/>
      <c r="H222" s="70"/>
      <c r="I222" s="70"/>
      <c r="J222" s="72"/>
    </row>
    <row r="223" spans="1:10" x14ac:dyDescent="0.2">
      <c r="A223" s="50" t="str">
        <f>IF(ISBLANK(RECAPITULATIF!A232),"",RECAPITULATIF!A232)</f>
        <v/>
      </c>
      <c r="B223" s="50" t="str">
        <f>IF(ISBLANK(RECAPITULATIF!B232),"",RECAPITULATIF!B232)</f>
        <v/>
      </c>
      <c r="C223" s="50" t="str">
        <f>IF(ISBLANK(RECAPITULATIF!C232),"",RECAPITULATIF!C232)</f>
        <v/>
      </c>
      <c r="D223" s="69"/>
      <c r="E223" s="70"/>
      <c r="F223" s="70"/>
      <c r="G223" s="71"/>
      <c r="H223" s="70"/>
      <c r="I223" s="70"/>
      <c r="J223" s="72"/>
    </row>
    <row r="224" spans="1:10" x14ac:dyDescent="0.2">
      <c r="A224" s="50" t="str">
        <f>IF(ISBLANK(RECAPITULATIF!A233),"",RECAPITULATIF!A233)</f>
        <v/>
      </c>
      <c r="B224" s="50" t="str">
        <f>IF(ISBLANK(RECAPITULATIF!B233),"",RECAPITULATIF!B233)</f>
        <v/>
      </c>
      <c r="C224" s="50" t="str">
        <f>IF(ISBLANK(RECAPITULATIF!C233),"",RECAPITULATIF!C233)</f>
        <v/>
      </c>
      <c r="D224" s="69"/>
      <c r="E224" s="70"/>
      <c r="F224" s="70"/>
      <c r="G224" s="71"/>
      <c r="H224" s="70"/>
      <c r="I224" s="70"/>
      <c r="J224" s="72"/>
    </row>
    <row r="225" spans="1:10" x14ac:dyDescent="0.2">
      <c r="A225" s="50" t="str">
        <f>IF(ISBLANK(RECAPITULATIF!A234),"",RECAPITULATIF!A234)</f>
        <v/>
      </c>
      <c r="B225" s="50" t="str">
        <f>IF(ISBLANK(RECAPITULATIF!B234),"",RECAPITULATIF!B234)</f>
        <v/>
      </c>
      <c r="C225" s="50" t="str">
        <f>IF(ISBLANK(RECAPITULATIF!C234),"",RECAPITULATIF!C234)</f>
        <v/>
      </c>
      <c r="D225" s="69"/>
      <c r="E225" s="70"/>
      <c r="F225" s="70"/>
      <c r="G225" s="71"/>
      <c r="H225" s="70"/>
      <c r="I225" s="70"/>
      <c r="J225" s="72"/>
    </row>
    <row r="226" spans="1:10" x14ac:dyDescent="0.2">
      <c r="A226" s="50" t="str">
        <f>IF(ISBLANK(RECAPITULATIF!A235),"",RECAPITULATIF!A235)</f>
        <v/>
      </c>
      <c r="B226" s="50" t="str">
        <f>IF(ISBLANK(RECAPITULATIF!B235),"",RECAPITULATIF!B235)</f>
        <v/>
      </c>
      <c r="C226" s="50" t="str">
        <f>IF(ISBLANK(RECAPITULATIF!C235),"",RECAPITULATIF!C235)</f>
        <v/>
      </c>
      <c r="D226" s="69"/>
      <c r="E226" s="70"/>
      <c r="F226" s="70"/>
      <c r="G226" s="71"/>
      <c r="H226" s="70"/>
      <c r="I226" s="70"/>
      <c r="J226" s="72"/>
    </row>
    <row r="227" spans="1:10" x14ac:dyDescent="0.2">
      <c r="A227" s="50" t="str">
        <f>IF(ISBLANK(RECAPITULATIF!A236),"",RECAPITULATIF!A236)</f>
        <v/>
      </c>
      <c r="B227" s="50" t="str">
        <f>IF(ISBLANK(RECAPITULATIF!B236),"",RECAPITULATIF!B236)</f>
        <v/>
      </c>
      <c r="C227" s="50" t="str">
        <f>IF(ISBLANK(RECAPITULATIF!C236),"",RECAPITULATIF!C236)</f>
        <v/>
      </c>
      <c r="D227" s="69"/>
      <c r="E227" s="70"/>
      <c r="F227" s="70"/>
      <c r="G227" s="71"/>
      <c r="H227" s="70"/>
      <c r="I227" s="70"/>
      <c r="J227" s="72"/>
    </row>
    <row r="228" spans="1:10" x14ac:dyDescent="0.2">
      <c r="A228" s="50" t="str">
        <f>IF(ISBLANK(RECAPITULATIF!A237),"",RECAPITULATIF!A237)</f>
        <v/>
      </c>
      <c r="B228" s="50" t="str">
        <f>IF(ISBLANK(RECAPITULATIF!B237),"",RECAPITULATIF!B237)</f>
        <v/>
      </c>
      <c r="C228" s="50" t="str">
        <f>IF(ISBLANK(RECAPITULATIF!C237),"",RECAPITULATIF!C237)</f>
        <v/>
      </c>
      <c r="D228" s="69"/>
      <c r="E228" s="70"/>
      <c r="F228" s="70"/>
      <c r="G228" s="71"/>
      <c r="H228" s="70"/>
      <c r="I228" s="70"/>
      <c r="J228" s="72"/>
    </row>
    <row r="229" spans="1:10" x14ac:dyDescent="0.2">
      <c r="A229" s="50" t="str">
        <f>IF(ISBLANK(RECAPITULATIF!A238),"",RECAPITULATIF!A238)</f>
        <v/>
      </c>
      <c r="B229" s="50" t="str">
        <f>IF(ISBLANK(RECAPITULATIF!B238),"",RECAPITULATIF!B238)</f>
        <v/>
      </c>
      <c r="C229" s="50" t="str">
        <f>IF(ISBLANK(RECAPITULATIF!C238),"",RECAPITULATIF!C238)</f>
        <v/>
      </c>
      <c r="D229" s="69"/>
      <c r="E229" s="70"/>
      <c r="F229" s="70"/>
      <c r="G229" s="71"/>
      <c r="H229" s="70"/>
      <c r="I229" s="70"/>
      <c r="J229" s="72"/>
    </row>
    <row r="230" spans="1:10" x14ac:dyDescent="0.2">
      <c r="A230" s="50" t="str">
        <f>IF(ISBLANK(RECAPITULATIF!A239),"",RECAPITULATIF!A239)</f>
        <v/>
      </c>
      <c r="B230" s="50" t="str">
        <f>IF(ISBLANK(RECAPITULATIF!B239),"",RECAPITULATIF!B239)</f>
        <v/>
      </c>
      <c r="C230" s="50" t="str">
        <f>IF(ISBLANK(RECAPITULATIF!C239),"",RECAPITULATIF!C239)</f>
        <v/>
      </c>
      <c r="D230" s="69"/>
      <c r="E230" s="70"/>
      <c r="F230" s="70"/>
      <c r="G230" s="71"/>
      <c r="H230" s="70"/>
      <c r="I230" s="70"/>
      <c r="J230" s="72"/>
    </row>
    <row r="231" spans="1:10" x14ac:dyDescent="0.2">
      <c r="A231" s="50" t="str">
        <f>IF(ISBLANK(RECAPITULATIF!A240),"",RECAPITULATIF!A240)</f>
        <v/>
      </c>
      <c r="B231" s="50" t="str">
        <f>IF(ISBLANK(RECAPITULATIF!B240),"",RECAPITULATIF!B240)</f>
        <v/>
      </c>
      <c r="C231" s="50" t="str">
        <f>IF(ISBLANK(RECAPITULATIF!C240),"",RECAPITULATIF!C240)</f>
        <v/>
      </c>
      <c r="D231" s="69"/>
      <c r="E231" s="70"/>
      <c r="F231" s="70"/>
      <c r="G231" s="71"/>
      <c r="H231" s="70"/>
      <c r="I231" s="70"/>
      <c r="J231" s="72"/>
    </row>
    <row r="232" spans="1:10" x14ac:dyDescent="0.2">
      <c r="A232" s="50" t="str">
        <f>IF(ISBLANK(RECAPITULATIF!A241),"",RECAPITULATIF!A241)</f>
        <v/>
      </c>
      <c r="B232" s="50" t="str">
        <f>IF(ISBLANK(RECAPITULATIF!B241),"",RECAPITULATIF!B241)</f>
        <v/>
      </c>
      <c r="C232" s="50" t="str">
        <f>IF(ISBLANK(RECAPITULATIF!C241),"",RECAPITULATIF!C241)</f>
        <v/>
      </c>
      <c r="D232" s="69"/>
      <c r="E232" s="70"/>
      <c r="F232" s="70"/>
      <c r="G232" s="71"/>
      <c r="H232" s="70"/>
      <c r="I232" s="70"/>
      <c r="J232" s="72"/>
    </row>
    <row r="233" spans="1:10" x14ac:dyDescent="0.2">
      <c r="A233" s="50" t="str">
        <f>IF(ISBLANK(RECAPITULATIF!A242),"",RECAPITULATIF!A242)</f>
        <v/>
      </c>
      <c r="B233" s="50" t="str">
        <f>IF(ISBLANK(RECAPITULATIF!B242),"",RECAPITULATIF!B242)</f>
        <v/>
      </c>
      <c r="C233" s="50" t="str">
        <f>IF(ISBLANK(RECAPITULATIF!C242),"",RECAPITULATIF!C242)</f>
        <v/>
      </c>
      <c r="D233" s="69"/>
      <c r="E233" s="70"/>
      <c r="F233" s="70"/>
      <c r="G233" s="71"/>
      <c r="H233" s="70"/>
      <c r="I233" s="70"/>
      <c r="J233" s="72"/>
    </row>
    <row r="234" spans="1:10" x14ac:dyDescent="0.2">
      <c r="A234" s="50" t="str">
        <f>IF(ISBLANK(RECAPITULATIF!A243),"",RECAPITULATIF!A243)</f>
        <v/>
      </c>
      <c r="B234" s="50" t="str">
        <f>IF(ISBLANK(RECAPITULATIF!B243),"",RECAPITULATIF!B243)</f>
        <v/>
      </c>
      <c r="C234" s="50" t="str">
        <f>IF(ISBLANK(RECAPITULATIF!C243),"",RECAPITULATIF!C243)</f>
        <v/>
      </c>
      <c r="D234" s="69"/>
      <c r="E234" s="70"/>
      <c r="F234" s="70"/>
      <c r="G234" s="71"/>
      <c r="H234" s="70"/>
      <c r="I234" s="70"/>
      <c r="J234" s="72"/>
    </row>
    <row r="235" spans="1:10" x14ac:dyDescent="0.2">
      <c r="A235" s="50" t="str">
        <f>IF(ISBLANK(RECAPITULATIF!A244),"",RECAPITULATIF!A244)</f>
        <v/>
      </c>
      <c r="B235" s="50" t="str">
        <f>IF(ISBLANK(RECAPITULATIF!B244),"",RECAPITULATIF!B244)</f>
        <v/>
      </c>
      <c r="C235" s="50" t="str">
        <f>IF(ISBLANK(RECAPITULATIF!C244),"",RECAPITULATIF!C244)</f>
        <v/>
      </c>
      <c r="D235" s="69"/>
      <c r="E235" s="70"/>
      <c r="F235" s="70"/>
      <c r="G235" s="71"/>
      <c r="H235" s="70"/>
      <c r="I235" s="70"/>
      <c r="J235" s="72"/>
    </row>
    <row r="236" spans="1:10" x14ac:dyDescent="0.2">
      <c r="A236" s="50" t="str">
        <f>IF(ISBLANK(RECAPITULATIF!A245),"",RECAPITULATIF!A245)</f>
        <v/>
      </c>
      <c r="B236" s="50" t="str">
        <f>IF(ISBLANK(RECAPITULATIF!B245),"",RECAPITULATIF!B245)</f>
        <v/>
      </c>
      <c r="C236" s="50" t="str">
        <f>IF(ISBLANK(RECAPITULATIF!C245),"",RECAPITULATIF!C245)</f>
        <v/>
      </c>
      <c r="D236" s="69"/>
      <c r="E236" s="70"/>
      <c r="F236" s="70"/>
      <c r="G236" s="71"/>
      <c r="H236" s="70"/>
      <c r="I236" s="70"/>
      <c r="J236" s="72"/>
    </row>
    <row r="237" spans="1:10" x14ac:dyDescent="0.2">
      <c r="A237" s="50" t="str">
        <f>IF(ISBLANK(RECAPITULATIF!A246),"",RECAPITULATIF!A246)</f>
        <v/>
      </c>
      <c r="B237" s="50" t="str">
        <f>IF(ISBLANK(RECAPITULATIF!B246),"",RECAPITULATIF!B246)</f>
        <v/>
      </c>
      <c r="C237" s="50" t="str">
        <f>IF(ISBLANK(RECAPITULATIF!C246),"",RECAPITULATIF!C246)</f>
        <v/>
      </c>
      <c r="D237" s="69"/>
      <c r="E237" s="70"/>
      <c r="F237" s="70"/>
      <c r="G237" s="71"/>
      <c r="H237" s="70"/>
      <c r="I237" s="70"/>
      <c r="J237" s="72"/>
    </row>
    <row r="238" spans="1:10" x14ac:dyDescent="0.2">
      <c r="A238" s="50" t="str">
        <f>IF(ISBLANK(RECAPITULATIF!A247),"",RECAPITULATIF!A247)</f>
        <v/>
      </c>
      <c r="B238" s="50" t="str">
        <f>IF(ISBLANK(RECAPITULATIF!B247),"",RECAPITULATIF!B247)</f>
        <v/>
      </c>
      <c r="C238" s="50" t="str">
        <f>IF(ISBLANK(RECAPITULATIF!C247),"",RECAPITULATIF!C247)</f>
        <v/>
      </c>
      <c r="D238" s="69"/>
      <c r="E238" s="70"/>
      <c r="F238" s="70"/>
      <c r="G238" s="71"/>
      <c r="H238" s="70"/>
      <c r="I238" s="70"/>
      <c r="J238" s="72"/>
    </row>
    <row r="239" spans="1:10" x14ac:dyDescent="0.2">
      <c r="A239" s="50" t="str">
        <f>IF(ISBLANK(RECAPITULATIF!A248),"",RECAPITULATIF!A248)</f>
        <v/>
      </c>
      <c r="B239" s="50" t="str">
        <f>IF(ISBLANK(RECAPITULATIF!B248),"",RECAPITULATIF!B248)</f>
        <v/>
      </c>
      <c r="C239" s="50" t="str">
        <f>IF(ISBLANK(RECAPITULATIF!C248),"",RECAPITULATIF!C248)</f>
        <v/>
      </c>
      <c r="D239" s="69"/>
      <c r="E239" s="70"/>
      <c r="F239" s="70"/>
      <c r="G239" s="71"/>
      <c r="H239" s="70"/>
      <c r="I239" s="70"/>
      <c r="J239" s="72"/>
    </row>
    <row r="240" spans="1:10" x14ac:dyDescent="0.2">
      <c r="A240" s="50" t="str">
        <f>IF(ISBLANK(RECAPITULATIF!A249),"",RECAPITULATIF!A249)</f>
        <v/>
      </c>
      <c r="B240" s="50" t="str">
        <f>IF(ISBLANK(RECAPITULATIF!B249),"",RECAPITULATIF!B249)</f>
        <v/>
      </c>
      <c r="C240" s="50" t="str">
        <f>IF(ISBLANK(RECAPITULATIF!C249),"",RECAPITULATIF!C249)</f>
        <v/>
      </c>
      <c r="D240" s="69"/>
      <c r="E240" s="70"/>
      <c r="F240" s="70"/>
      <c r="G240" s="71"/>
      <c r="H240" s="70"/>
      <c r="I240" s="70"/>
      <c r="J240" s="72"/>
    </row>
    <row r="241" spans="1:10" x14ac:dyDescent="0.2">
      <c r="A241" s="50" t="str">
        <f>IF(ISBLANK(RECAPITULATIF!A250),"",RECAPITULATIF!A250)</f>
        <v/>
      </c>
      <c r="B241" s="50" t="str">
        <f>IF(ISBLANK(RECAPITULATIF!B250),"",RECAPITULATIF!B250)</f>
        <v/>
      </c>
      <c r="C241" s="50" t="str">
        <f>IF(ISBLANK(RECAPITULATIF!C250),"",RECAPITULATIF!C250)</f>
        <v/>
      </c>
      <c r="D241" s="69"/>
      <c r="E241" s="70"/>
      <c r="F241" s="70"/>
      <c r="G241" s="71"/>
      <c r="H241" s="70"/>
      <c r="I241" s="70"/>
      <c r="J241" s="72"/>
    </row>
    <row r="242" spans="1:10" x14ac:dyDescent="0.2">
      <c r="A242" s="50" t="str">
        <f>IF(ISBLANK(RECAPITULATIF!A251),"",RECAPITULATIF!A251)</f>
        <v/>
      </c>
      <c r="B242" s="50" t="str">
        <f>IF(ISBLANK(RECAPITULATIF!B251),"",RECAPITULATIF!B251)</f>
        <v/>
      </c>
      <c r="C242" s="50" t="str">
        <f>IF(ISBLANK(RECAPITULATIF!C251),"",RECAPITULATIF!C251)</f>
        <v/>
      </c>
      <c r="D242" s="69"/>
      <c r="E242" s="70"/>
      <c r="F242" s="70"/>
      <c r="G242" s="71"/>
      <c r="H242" s="70"/>
      <c r="I242" s="70"/>
      <c r="J242" s="72"/>
    </row>
    <row r="243" spans="1:10" x14ac:dyDescent="0.2">
      <c r="A243" s="50" t="str">
        <f>IF(ISBLANK(RECAPITULATIF!A252),"",RECAPITULATIF!A252)</f>
        <v/>
      </c>
      <c r="B243" s="50" t="str">
        <f>IF(ISBLANK(RECAPITULATIF!B252),"",RECAPITULATIF!B252)</f>
        <v/>
      </c>
      <c r="C243" s="50" t="str">
        <f>IF(ISBLANK(RECAPITULATIF!C252),"",RECAPITULATIF!C252)</f>
        <v/>
      </c>
      <c r="D243" s="69"/>
      <c r="E243" s="70"/>
      <c r="F243" s="70"/>
      <c r="G243" s="71"/>
      <c r="H243" s="70"/>
      <c r="I243" s="70"/>
      <c r="J243" s="72"/>
    </row>
    <row r="244" spans="1:10" x14ac:dyDescent="0.2">
      <c r="A244" s="50" t="str">
        <f>IF(ISBLANK(RECAPITULATIF!A253),"",RECAPITULATIF!A253)</f>
        <v/>
      </c>
      <c r="B244" s="50" t="str">
        <f>IF(ISBLANK(RECAPITULATIF!B253),"",RECAPITULATIF!B253)</f>
        <v/>
      </c>
      <c r="C244" s="50" t="str">
        <f>IF(ISBLANK(RECAPITULATIF!C253),"",RECAPITULATIF!C253)</f>
        <v/>
      </c>
      <c r="D244" s="69"/>
      <c r="E244" s="70"/>
      <c r="F244" s="70"/>
      <c r="G244" s="71"/>
      <c r="H244" s="70"/>
      <c r="I244" s="70"/>
      <c r="J244" s="72"/>
    </row>
    <row r="245" spans="1:10" x14ac:dyDescent="0.2">
      <c r="A245" s="50" t="str">
        <f>IF(ISBLANK(RECAPITULATIF!A254),"",RECAPITULATIF!A254)</f>
        <v/>
      </c>
      <c r="B245" s="50" t="str">
        <f>IF(ISBLANK(RECAPITULATIF!B254),"",RECAPITULATIF!B254)</f>
        <v/>
      </c>
      <c r="C245" s="50" t="str">
        <f>IF(ISBLANK(RECAPITULATIF!C254),"",RECAPITULATIF!C254)</f>
        <v/>
      </c>
      <c r="D245" s="69"/>
      <c r="E245" s="70"/>
      <c r="F245" s="70"/>
      <c r="G245" s="71"/>
      <c r="H245" s="70"/>
      <c r="I245" s="70"/>
      <c r="J245" s="72"/>
    </row>
    <row r="246" spans="1:10" x14ac:dyDescent="0.2">
      <c r="A246" s="50" t="str">
        <f>IF(ISBLANK(RECAPITULATIF!A255),"",RECAPITULATIF!A255)</f>
        <v/>
      </c>
      <c r="B246" s="50" t="str">
        <f>IF(ISBLANK(RECAPITULATIF!B255),"",RECAPITULATIF!B255)</f>
        <v/>
      </c>
      <c r="C246" s="50" t="str">
        <f>IF(ISBLANK(RECAPITULATIF!C255),"",RECAPITULATIF!C255)</f>
        <v/>
      </c>
      <c r="D246" s="69"/>
      <c r="E246" s="70"/>
      <c r="F246" s="70"/>
      <c r="G246" s="71"/>
      <c r="H246" s="70"/>
      <c r="I246" s="70"/>
      <c r="J246" s="72"/>
    </row>
    <row r="247" spans="1:10" x14ac:dyDescent="0.2">
      <c r="A247" s="50" t="str">
        <f>IF(ISBLANK(RECAPITULATIF!A256),"",RECAPITULATIF!A256)</f>
        <v/>
      </c>
      <c r="B247" s="50" t="str">
        <f>IF(ISBLANK(RECAPITULATIF!B256),"",RECAPITULATIF!B256)</f>
        <v/>
      </c>
      <c r="C247" s="50" t="str">
        <f>IF(ISBLANK(RECAPITULATIF!C256),"",RECAPITULATIF!C256)</f>
        <v/>
      </c>
      <c r="D247" s="69"/>
      <c r="E247" s="70"/>
      <c r="F247" s="70"/>
      <c r="G247" s="71"/>
      <c r="H247" s="70"/>
      <c r="I247" s="70"/>
      <c r="J247" s="72"/>
    </row>
    <row r="248" spans="1:10" x14ac:dyDescent="0.2">
      <c r="A248" s="50" t="str">
        <f>IF(ISBLANK(RECAPITULATIF!A257),"",RECAPITULATIF!A257)</f>
        <v/>
      </c>
      <c r="B248" s="50" t="str">
        <f>IF(ISBLANK(RECAPITULATIF!B257),"",RECAPITULATIF!B257)</f>
        <v/>
      </c>
      <c r="C248" s="50" t="str">
        <f>IF(ISBLANK(RECAPITULATIF!C257),"",RECAPITULATIF!C257)</f>
        <v/>
      </c>
      <c r="D248" s="69"/>
      <c r="E248" s="70"/>
      <c r="F248" s="70"/>
      <c r="G248" s="71"/>
      <c r="H248" s="70"/>
      <c r="I248" s="70"/>
      <c r="J248" s="72"/>
    </row>
    <row r="249" spans="1:10" x14ac:dyDescent="0.2">
      <c r="A249" s="50" t="str">
        <f>IF(ISBLANK(RECAPITULATIF!A258),"",RECAPITULATIF!A258)</f>
        <v/>
      </c>
      <c r="B249" s="50" t="str">
        <f>IF(ISBLANK(RECAPITULATIF!B258),"",RECAPITULATIF!B258)</f>
        <v/>
      </c>
      <c r="C249" s="50" t="str">
        <f>IF(ISBLANK(RECAPITULATIF!C258),"",RECAPITULATIF!C258)</f>
        <v/>
      </c>
      <c r="D249" s="69"/>
      <c r="E249" s="70"/>
      <c r="F249" s="70"/>
      <c r="G249" s="71"/>
      <c r="H249" s="70"/>
      <c r="I249" s="70"/>
      <c r="J249" s="72"/>
    </row>
    <row r="250" spans="1:10" x14ac:dyDescent="0.2">
      <c r="A250" s="50" t="str">
        <f>IF(ISBLANK(RECAPITULATIF!A259),"",RECAPITULATIF!A259)</f>
        <v/>
      </c>
      <c r="B250" s="50" t="str">
        <f>IF(ISBLANK(RECAPITULATIF!B259),"",RECAPITULATIF!B259)</f>
        <v/>
      </c>
      <c r="C250" s="50" t="str">
        <f>IF(ISBLANK(RECAPITULATIF!C259),"",RECAPITULATIF!C259)</f>
        <v/>
      </c>
      <c r="D250" s="69"/>
      <c r="E250" s="70"/>
      <c r="F250" s="70"/>
      <c r="G250" s="71"/>
      <c r="H250" s="70"/>
      <c r="I250" s="70"/>
      <c r="J250" s="72"/>
    </row>
    <row r="251" spans="1:10" x14ac:dyDescent="0.2">
      <c r="A251" s="50" t="str">
        <f>IF(ISBLANK(RECAPITULATIF!A260),"",RECAPITULATIF!A260)</f>
        <v/>
      </c>
      <c r="B251" s="50" t="str">
        <f>IF(ISBLANK(RECAPITULATIF!B260),"",RECAPITULATIF!B260)</f>
        <v/>
      </c>
      <c r="C251" s="50" t="str">
        <f>IF(ISBLANK(RECAPITULATIF!C260),"",RECAPITULATIF!C260)</f>
        <v/>
      </c>
      <c r="D251" s="69"/>
      <c r="E251" s="70"/>
      <c r="F251" s="70"/>
      <c r="G251" s="71"/>
      <c r="H251" s="70"/>
      <c r="I251" s="70"/>
      <c r="J251" s="72"/>
    </row>
    <row r="252" spans="1:10" x14ac:dyDescent="0.2">
      <c r="A252" s="50" t="str">
        <f>IF(ISBLANK(RECAPITULATIF!A261),"",RECAPITULATIF!A261)</f>
        <v/>
      </c>
      <c r="B252" s="50" t="str">
        <f>IF(ISBLANK(RECAPITULATIF!B261),"",RECAPITULATIF!B261)</f>
        <v/>
      </c>
      <c r="C252" s="50" t="str">
        <f>IF(ISBLANK(RECAPITULATIF!C261),"",RECAPITULATIF!C261)</f>
        <v/>
      </c>
      <c r="D252" s="69"/>
      <c r="E252" s="70"/>
      <c r="F252" s="70"/>
      <c r="G252" s="71"/>
      <c r="H252" s="70"/>
      <c r="I252" s="70"/>
      <c r="J252" s="72"/>
    </row>
    <row r="253" spans="1:10" x14ac:dyDescent="0.2">
      <c r="A253" s="50" t="str">
        <f>IF(ISBLANK(RECAPITULATIF!A262),"",RECAPITULATIF!A262)</f>
        <v/>
      </c>
      <c r="B253" s="50" t="str">
        <f>IF(ISBLANK(RECAPITULATIF!B262),"",RECAPITULATIF!B262)</f>
        <v/>
      </c>
      <c r="C253" s="50" t="str">
        <f>IF(ISBLANK(RECAPITULATIF!C262),"",RECAPITULATIF!C262)</f>
        <v/>
      </c>
      <c r="D253" s="69"/>
      <c r="E253" s="70"/>
      <c r="F253" s="70"/>
      <c r="G253" s="71"/>
      <c r="H253" s="70"/>
      <c r="I253" s="70"/>
      <c r="J253" s="72"/>
    </row>
    <row r="254" spans="1:10" x14ac:dyDescent="0.2">
      <c r="A254" s="50" t="str">
        <f>IF(ISBLANK(RECAPITULATIF!A263),"",RECAPITULATIF!A263)</f>
        <v/>
      </c>
      <c r="B254" s="50" t="str">
        <f>IF(ISBLANK(RECAPITULATIF!B263),"",RECAPITULATIF!B263)</f>
        <v/>
      </c>
      <c r="C254" s="50" t="str">
        <f>IF(ISBLANK(RECAPITULATIF!C263),"",RECAPITULATIF!C263)</f>
        <v/>
      </c>
      <c r="D254" s="69"/>
      <c r="E254" s="70"/>
      <c r="F254" s="70"/>
      <c r="G254" s="71"/>
      <c r="H254" s="70"/>
      <c r="I254" s="70"/>
      <c r="J254" s="72"/>
    </row>
    <row r="255" spans="1:10" x14ac:dyDescent="0.2">
      <c r="A255" s="50" t="str">
        <f>IF(ISBLANK(RECAPITULATIF!A264),"",RECAPITULATIF!A264)</f>
        <v/>
      </c>
      <c r="B255" s="50" t="str">
        <f>IF(ISBLANK(RECAPITULATIF!B264),"",RECAPITULATIF!B264)</f>
        <v/>
      </c>
      <c r="C255" s="50" t="str">
        <f>IF(ISBLANK(RECAPITULATIF!C264),"",RECAPITULATIF!C264)</f>
        <v/>
      </c>
      <c r="D255" s="69"/>
      <c r="E255" s="70"/>
      <c r="F255" s="70"/>
      <c r="G255" s="71"/>
      <c r="H255" s="70"/>
      <c r="I255" s="70"/>
      <c r="J255" s="72"/>
    </row>
    <row r="256" spans="1:10" x14ac:dyDescent="0.2">
      <c r="A256" s="50" t="str">
        <f>IF(ISBLANK(RECAPITULATIF!A265),"",RECAPITULATIF!A265)</f>
        <v/>
      </c>
      <c r="B256" s="50" t="str">
        <f>IF(ISBLANK(RECAPITULATIF!B265),"",RECAPITULATIF!B265)</f>
        <v/>
      </c>
      <c r="C256" s="50" t="str">
        <f>IF(ISBLANK(RECAPITULATIF!C265),"",RECAPITULATIF!C265)</f>
        <v/>
      </c>
      <c r="D256" s="69"/>
      <c r="E256" s="70"/>
      <c r="F256" s="70"/>
      <c r="G256" s="71"/>
      <c r="H256" s="70"/>
      <c r="I256" s="70"/>
      <c r="J256" s="72"/>
    </row>
    <row r="257" spans="1:10" x14ac:dyDescent="0.2">
      <c r="A257" s="50" t="str">
        <f>IF(ISBLANK(RECAPITULATIF!A266),"",RECAPITULATIF!A266)</f>
        <v/>
      </c>
      <c r="B257" s="50" t="str">
        <f>IF(ISBLANK(RECAPITULATIF!B266),"",RECAPITULATIF!B266)</f>
        <v/>
      </c>
      <c r="C257" s="50" t="str">
        <f>IF(ISBLANK(RECAPITULATIF!C266),"",RECAPITULATIF!C266)</f>
        <v/>
      </c>
      <c r="D257" s="69"/>
      <c r="E257" s="70"/>
      <c r="F257" s="70"/>
      <c r="G257" s="71"/>
      <c r="H257" s="70"/>
      <c r="I257" s="70"/>
      <c r="J257" s="72"/>
    </row>
    <row r="258" spans="1:10" ht="16" thickBot="1" x14ac:dyDescent="0.25">
      <c r="A258" s="50" t="str">
        <f>IF(ISBLANK(RECAPITULATIF!A267),"",RECAPITULATIF!A267)</f>
        <v/>
      </c>
      <c r="B258" s="50" t="str">
        <f>IF(ISBLANK(RECAPITULATIF!B267),"",RECAPITULATIF!B267)</f>
        <v/>
      </c>
      <c r="C258" s="50" t="str">
        <f>IF(ISBLANK(RECAPITULATIF!C267),"",RECAPITULATIF!C267)</f>
        <v/>
      </c>
      <c r="D258" s="77"/>
      <c r="E258" s="78"/>
      <c r="F258" s="78"/>
      <c r="G258" s="79"/>
      <c r="H258" s="78"/>
      <c r="I258" s="78"/>
      <c r="J258" s="80"/>
    </row>
    <row r="259" spans="1:10" x14ac:dyDescent="0.2">
      <c r="A259" s="6" t="s">
        <v>21</v>
      </c>
      <c r="B259" s="7"/>
      <c r="C259" s="7"/>
      <c r="D259" s="81">
        <f t="shared" ref="D259:J259" si="0">SUM(D9:D258)</f>
        <v>0</v>
      </c>
      <c r="E259" s="82">
        <f t="shared" si="0"/>
        <v>0</v>
      </c>
      <c r="F259" s="82">
        <f t="shared" si="0"/>
        <v>0</v>
      </c>
      <c r="G259" s="83">
        <f t="shared" si="0"/>
        <v>0</v>
      </c>
      <c r="H259" s="82">
        <f t="shared" si="0"/>
        <v>0</v>
      </c>
      <c r="I259" s="82">
        <f t="shared" si="0"/>
        <v>0</v>
      </c>
      <c r="J259" s="84">
        <f t="shared" si="0"/>
        <v>0</v>
      </c>
    </row>
    <row r="260" spans="1:10" s="14" customFormat="1" ht="12" thickBot="1" x14ac:dyDescent="0.2">
      <c r="A260" s="9" t="s">
        <v>22</v>
      </c>
      <c r="B260" s="10"/>
      <c r="C260" s="10"/>
      <c r="D260" s="11" t="s">
        <v>23</v>
      </c>
      <c r="E260" s="22" t="s">
        <v>23</v>
      </c>
      <c r="F260" s="22" t="s">
        <v>23</v>
      </c>
      <c r="G260" s="23" t="s">
        <v>23</v>
      </c>
      <c r="H260" s="22" t="s">
        <v>41</v>
      </c>
      <c r="I260" s="22" t="s">
        <v>23</v>
      </c>
      <c r="J260" s="13" t="s">
        <v>41</v>
      </c>
    </row>
    <row r="261" spans="1:10" ht="12" customHeight="1" x14ac:dyDescent="0.2">
      <c r="A261" s="45" t="s">
        <v>24</v>
      </c>
    </row>
    <row r="262" spans="1:10" ht="10.5" customHeight="1" x14ac:dyDescent="0.2">
      <c r="A262" s="45" t="s">
        <v>25</v>
      </c>
    </row>
  </sheetData>
  <mergeCells count="11">
    <mergeCell ref="I5:J5"/>
    <mergeCell ref="A6:A8"/>
    <mergeCell ref="B6:B8"/>
    <mergeCell ref="C6:C8"/>
    <mergeCell ref="D6:D7"/>
    <mergeCell ref="E6:E7"/>
    <mergeCell ref="F6:F7"/>
    <mergeCell ref="G6:H6"/>
    <mergeCell ref="J6:J7"/>
    <mergeCell ref="A5:F5"/>
    <mergeCell ref="I6:I7"/>
  </mergeCells>
  <pageMargins left="0.19685039370078741" right="0.19685039370078741" top="0.19685039370078741" bottom="0.15748031496062992" header="0.19685039370078741" footer="0.15748031496062992"/>
  <pageSetup paperSize="9" orientation="portrait" r:id="rId1"/>
  <ignoredErrors>
    <ignoredError sqref="D259:J25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2"/>
  <sheetViews>
    <sheetView showGridLines="0" workbookViewId="0">
      <pane ySplit="2800" topLeftCell="A225" activePane="bottomLeft"/>
      <selection activeCell="G3" sqref="G3"/>
      <selection pane="bottomLeft" activeCell="A9" sqref="A9"/>
    </sheetView>
  </sheetViews>
  <sheetFormatPr baseColWidth="10" defaultRowHeight="15" x14ac:dyDescent="0.2"/>
  <cols>
    <col min="1" max="1" width="13.1640625" customWidth="1"/>
    <col min="2" max="3" width="5" customWidth="1"/>
    <col min="4" max="8" width="15" customWidth="1"/>
  </cols>
  <sheetData>
    <row r="1" spans="1:8" ht="12.75" customHeight="1" x14ac:dyDescent="0.2">
      <c r="A1" s="8"/>
      <c r="B1" s="3"/>
      <c r="C1" s="3"/>
      <c r="E1" s="19" t="s">
        <v>19</v>
      </c>
      <c r="F1" s="19"/>
      <c r="G1" s="19">
        <f>RECAPITULATIF!H5</f>
        <v>0</v>
      </c>
      <c r="H1" s="19"/>
    </row>
    <row r="2" spans="1:8" ht="12.75" customHeight="1" x14ac:dyDescent="0.2">
      <c r="A2" s="8"/>
      <c r="B2" s="3"/>
      <c r="C2" s="3"/>
      <c r="E2" s="19" t="s">
        <v>20</v>
      </c>
      <c r="F2" s="19"/>
      <c r="G2" s="19">
        <f>RECAPITULATIF!F7</f>
        <v>0</v>
      </c>
      <c r="H2" s="19"/>
    </row>
    <row r="3" spans="1:8" x14ac:dyDescent="0.2">
      <c r="E3" s="19" t="s">
        <v>54</v>
      </c>
      <c r="F3" s="19"/>
      <c r="G3">
        <f>RECAPITULATIF!A8</f>
        <v>44197</v>
      </c>
      <c r="H3" s="29" t="s">
        <v>42</v>
      </c>
    </row>
    <row r="5" spans="1:8" ht="16" x14ac:dyDescent="0.2">
      <c r="A5" s="110" t="s">
        <v>48</v>
      </c>
      <c r="B5" s="110"/>
      <c r="C5" s="110"/>
      <c r="D5" s="110"/>
      <c r="E5" s="110"/>
      <c r="F5" s="110"/>
      <c r="G5" s="110"/>
      <c r="H5" s="110"/>
    </row>
    <row r="6" spans="1:8" ht="18" customHeight="1" x14ac:dyDescent="0.2">
      <c r="A6" s="120" t="s">
        <v>8</v>
      </c>
      <c r="B6" s="123" t="s">
        <v>9</v>
      </c>
      <c r="C6" s="126" t="s">
        <v>10</v>
      </c>
      <c r="D6" s="141" t="s">
        <v>43</v>
      </c>
      <c r="E6" s="148"/>
      <c r="F6" s="148"/>
      <c r="G6" s="149" t="s">
        <v>44</v>
      </c>
      <c r="H6" s="142"/>
    </row>
    <row r="7" spans="1:8" ht="22.5" customHeight="1" x14ac:dyDescent="0.2">
      <c r="A7" s="121"/>
      <c r="B7" s="124"/>
      <c r="C7" s="127"/>
      <c r="D7" s="30" t="s">
        <v>45</v>
      </c>
      <c r="E7" s="30" t="s">
        <v>46</v>
      </c>
      <c r="F7" s="31" t="s">
        <v>47</v>
      </c>
      <c r="G7" s="33" t="s">
        <v>31</v>
      </c>
      <c r="H7" s="27" t="s">
        <v>32</v>
      </c>
    </row>
    <row r="8" spans="1:8" ht="16" thickBot="1" x14ac:dyDescent="0.25">
      <c r="A8" s="122"/>
      <c r="B8" s="125"/>
      <c r="C8" s="128"/>
      <c r="D8" s="20">
        <v>17</v>
      </c>
      <c r="E8" s="21">
        <v>18</v>
      </c>
      <c r="F8" s="20">
        <v>19</v>
      </c>
      <c r="G8" s="56">
        <v>20</v>
      </c>
      <c r="H8" s="25">
        <v>21</v>
      </c>
    </row>
    <row r="9" spans="1:8" x14ac:dyDescent="0.2">
      <c r="A9" s="50" t="str">
        <f>IF(ISBLANK(RECAPITULATIF!A18),"",RECAPITULATIF!A18)</f>
        <v/>
      </c>
      <c r="B9" s="50" t="str">
        <f>IF(ISBLANK(RECAPITULATIF!B18),"",RECAPITULATIF!B18)</f>
        <v/>
      </c>
      <c r="C9" s="50" t="str">
        <f>IF(ISBLANK(RECAPITULATIF!C18),"",RECAPITULATIF!C18)</f>
        <v/>
      </c>
      <c r="D9" s="69"/>
      <c r="E9" s="70"/>
      <c r="F9" s="69"/>
      <c r="G9" s="85"/>
      <c r="H9" s="70"/>
    </row>
    <row r="10" spans="1:8" x14ac:dyDescent="0.2">
      <c r="A10" s="50" t="str">
        <f>IF(ISBLANK(RECAPITULATIF!A19),"",RECAPITULATIF!A19)</f>
        <v/>
      </c>
      <c r="B10" s="50" t="str">
        <f>IF(ISBLANK(RECAPITULATIF!B19),"",RECAPITULATIF!B19)</f>
        <v/>
      </c>
      <c r="C10" s="50" t="str">
        <f>IF(ISBLANK(RECAPITULATIF!C19),"",RECAPITULATIF!C19)</f>
        <v/>
      </c>
      <c r="D10" s="69"/>
      <c r="E10" s="70"/>
      <c r="F10" s="69"/>
      <c r="G10" s="85"/>
      <c r="H10" s="70"/>
    </row>
    <row r="11" spans="1:8" x14ac:dyDescent="0.2">
      <c r="A11" s="50" t="str">
        <f>IF(ISBLANK(RECAPITULATIF!A20),"",RECAPITULATIF!A20)</f>
        <v/>
      </c>
      <c r="B11" s="50" t="str">
        <f>IF(ISBLANK(RECAPITULATIF!B20),"",RECAPITULATIF!B20)</f>
        <v/>
      </c>
      <c r="C11" s="50" t="str">
        <f>IF(ISBLANK(RECAPITULATIF!C20),"",RECAPITULATIF!C20)</f>
        <v/>
      </c>
      <c r="D11" s="69"/>
      <c r="E11" s="70"/>
      <c r="F11" s="69"/>
      <c r="G11" s="85"/>
      <c r="H11" s="70"/>
    </row>
    <row r="12" spans="1:8" x14ac:dyDescent="0.2">
      <c r="A12" s="50" t="str">
        <f>IF(ISBLANK(RECAPITULATIF!A21),"",RECAPITULATIF!A21)</f>
        <v/>
      </c>
      <c r="B12" s="50" t="str">
        <f>IF(ISBLANK(RECAPITULATIF!B21),"",RECAPITULATIF!B21)</f>
        <v/>
      </c>
      <c r="C12" s="50" t="str">
        <f>IF(ISBLANK(RECAPITULATIF!C21),"",RECAPITULATIF!C21)</f>
        <v/>
      </c>
      <c r="D12" s="69"/>
      <c r="E12" s="70"/>
      <c r="F12" s="69"/>
      <c r="G12" s="85"/>
      <c r="H12" s="70"/>
    </row>
    <row r="13" spans="1:8" x14ac:dyDescent="0.2">
      <c r="A13" s="50" t="str">
        <f>IF(ISBLANK(RECAPITULATIF!A22),"",RECAPITULATIF!A22)</f>
        <v/>
      </c>
      <c r="B13" s="50" t="str">
        <f>IF(ISBLANK(RECAPITULATIF!B22),"",RECAPITULATIF!B22)</f>
        <v/>
      </c>
      <c r="C13" s="50" t="str">
        <f>IF(ISBLANK(RECAPITULATIF!C22),"",RECAPITULATIF!C22)</f>
        <v/>
      </c>
      <c r="D13" s="69"/>
      <c r="E13" s="70"/>
      <c r="F13" s="69"/>
      <c r="G13" s="85"/>
      <c r="H13" s="70"/>
    </row>
    <row r="14" spans="1:8" x14ac:dyDescent="0.2">
      <c r="A14" s="50" t="str">
        <f>IF(ISBLANK(RECAPITULATIF!A23),"",RECAPITULATIF!A23)</f>
        <v/>
      </c>
      <c r="B14" s="50" t="str">
        <f>IF(ISBLANK(RECAPITULATIF!B23),"",RECAPITULATIF!B23)</f>
        <v/>
      </c>
      <c r="C14" s="50" t="str">
        <f>IF(ISBLANK(RECAPITULATIF!C23),"",RECAPITULATIF!C23)</f>
        <v/>
      </c>
      <c r="D14" s="69"/>
      <c r="E14" s="70"/>
      <c r="F14" s="69"/>
      <c r="G14" s="85"/>
      <c r="H14" s="70"/>
    </row>
    <row r="15" spans="1:8" x14ac:dyDescent="0.2">
      <c r="A15" s="50" t="str">
        <f>IF(ISBLANK(RECAPITULATIF!A24),"",RECAPITULATIF!A24)</f>
        <v/>
      </c>
      <c r="B15" s="50" t="str">
        <f>IF(ISBLANK(RECAPITULATIF!B24),"",RECAPITULATIF!B24)</f>
        <v/>
      </c>
      <c r="C15" s="50" t="str">
        <f>IF(ISBLANK(RECAPITULATIF!C24),"",RECAPITULATIF!C24)</f>
        <v/>
      </c>
      <c r="D15" s="69"/>
      <c r="E15" s="70"/>
      <c r="F15" s="69"/>
      <c r="G15" s="85"/>
      <c r="H15" s="70"/>
    </row>
    <row r="16" spans="1:8" x14ac:dyDescent="0.2">
      <c r="A16" s="50" t="str">
        <f>IF(ISBLANK(RECAPITULATIF!A25),"",RECAPITULATIF!A25)</f>
        <v/>
      </c>
      <c r="B16" s="50" t="str">
        <f>IF(ISBLANK(RECAPITULATIF!B25),"",RECAPITULATIF!B25)</f>
        <v/>
      </c>
      <c r="C16" s="50" t="str">
        <f>IF(ISBLANK(RECAPITULATIF!C25),"",RECAPITULATIF!C25)</f>
        <v/>
      </c>
      <c r="D16" s="69"/>
      <c r="E16" s="70"/>
      <c r="F16" s="69"/>
      <c r="G16" s="85"/>
      <c r="H16" s="70"/>
    </row>
    <row r="17" spans="1:8" x14ac:dyDescent="0.2">
      <c r="A17" s="50" t="str">
        <f>IF(ISBLANK(RECAPITULATIF!A26),"",RECAPITULATIF!A26)</f>
        <v/>
      </c>
      <c r="B17" s="50" t="str">
        <f>IF(ISBLANK(RECAPITULATIF!B26),"",RECAPITULATIF!B26)</f>
        <v/>
      </c>
      <c r="C17" s="50" t="str">
        <f>IF(ISBLANK(RECAPITULATIF!C26),"",RECAPITULATIF!C26)</f>
        <v/>
      </c>
      <c r="D17" s="69"/>
      <c r="E17" s="70"/>
      <c r="F17" s="69"/>
      <c r="G17" s="85"/>
      <c r="H17" s="70"/>
    </row>
    <row r="18" spans="1:8" x14ac:dyDescent="0.2">
      <c r="A18" s="50" t="str">
        <f>IF(ISBLANK(RECAPITULATIF!A27),"",RECAPITULATIF!A27)</f>
        <v/>
      </c>
      <c r="B18" s="50" t="str">
        <f>IF(ISBLANK(RECAPITULATIF!B27),"",RECAPITULATIF!B27)</f>
        <v/>
      </c>
      <c r="C18" s="50" t="str">
        <f>IF(ISBLANK(RECAPITULATIF!C27),"",RECAPITULATIF!C27)</f>
        <v/>
      </c>
      <c r="D18" s="69"/>
      <c r="E18" s="70"/>
      <c r="F18" s="69"/>
      <c r="G18" s="85"/>
      <c r="H18" s="70"/>
    </row>
    <row r="19" spans="1:8" x14ac:dyDescent="0.2">
      <c r="A19" s="50" t="str">
        <f>IF(ISBLANK(RECAPITULATIF!A28),"",RECAPITULATIF!A28)</f>
        <v/>
      </c>
      <c r="B19" s="50" t="str">
        <f>IF(ISBLANK(RECAPITULATIF!B28),"",RECAPITULATIF!B28)</f>
        <v/>
      </c>
      <c r="C19" s="50" t="str">
        <f>IF(ISBLANK(RECAPITULATIF!C28),"",RECAPITULATIF!C28)</f>
        <v/>
      </c>
      <c r="D19" s="69"/>
      <c r="E19" s="70"/>
      <c r="F19" s="69"/>
      <c r="G19" s="85"/>
      <c r="H19" s="70"/>
    </row>
    <row r="20" spans="1:8" x14ac:dyDescent="0.2">
      <c r="A20" s="50" t="str">
        <f>IF(ISBLANK(RECAPITULATIF!A29),"",RECAPITULATIF!A29)</f>
        <v/>
      </c>
      <c r="B20" s="50" t="str">
        <f>IF(ISBLANK(RECAPITULATIF!B29),"",RECAPITULATIF!B29)</f>
        <v/>
      </c>
      <c r="C20" s="50" t="str">
        <f>IF(ISBLANK(RECAPITULATIF!C29),"",RECAPITULATIF!C29)</f>
        <v/>
      </c>
      <c r="D20" s="69"/>
      <c r="E20" s="70"/>
      <c r="F20" s="69"/>
      <c r="G20" s="85"/>
      <c r="H20" s="70"/>
    </row>
    <row r="21" spans="1:8" x14ac:dyDescent="0.2">
      <c r="A21" s="50" t="str">
        <f>IF(ISBLANK(RECAPITULATIF!A30),"",RECAPITULATIF!A30)</f>
        <v/>
      </c>
      <c r="B21" s="50" t="str">
        <f>IF(ISBLANK(RECAPITULATIF!B30),"",RECAPITULATIF!B30)</f>
        <v/>
      </c>
      <c r="C21" s="50" t="str">
        <f>IF(ISBLANK(RECAPITULATIF!C30),"",RECAPITULATIF!C30)</f>
        <v/>
      </c>
      <c r="D21" s="69"/>
      <c r="E21" s="70"/>
      <c r="F21" s="69"/>
      <c r="G21" s="85"/>
      <c r="H21" s="70"/>
    </row>
    <row r="22" spans="1:8" x14ac:dyDescent="0.2">
      <c r="A22" s="50" t="str">
        <f>IF(ISBLANK(RECAPITULATIF!A31),"",RECAPITULATIF!A31)</f>
        <v/>
      </c>
      <c r="B22" s="50" t="str">
        <f>IF(ISBLANK(RECAPITULATIF!B31),"",RECAPITULATIF!B31)</f>
        <v/>
      </c>
      <c r="C22" s="50" t="str">
        <f>IF(ISBLANK(RECAPITULATIF!C31),"",RECAPITULATIF!C31)</f>
        <v/>
      </c>
      <c r="D22" s="69"/>
      <c r="E22" s="70"/>
      <c r="F22" s="69"/>
      <c r="G22" s="85"/>
      <c r="H22" s="70"/>
    </row>
    <row r="23" spans="1:8" x14ac:dyDescent="0.2">
      <c r="A23" s="50" t="str">
        <f>IF(ISBLANK(RECAPITULATIF!A32),"",RECAPITULATIF!A32)</f>
        <v/>
      </c>
      <c r="B23" s="50" t="str">
        <f>IF(ISBLANK(RECAPITULATIF!B32),"",RECAPITULATIF!B32)</f>
        <v/>
      </c>
      <c r="C23" s="50" t="str">
        <f>IF(ISBLANK(RECAPITULATIF!C32),"",RECAPITULATIF!C32)</f>
        <v/>
      </c>
      <c r="D23" s="69"/>
      <c r="E23" s="70"/>
      <c r="F23" s="69"/>
      <c r="G23" s="85"/>
      <c r="H23" s="70"/>
    </row>
    <row r="24" spans="1:8" x14ac:dyDescent="0.2">
      <c r="A24" s="50" t="str">
        <f>IF(ISBLANK(RECAPITULATIF!A33),"",RECAPITULATIF!A33)</f>
        <v/>
      </c>
      <c r="B24" s="50" t="str">
        <f>IF(ISBLANK(RECAPITULATIF!B33),"",RECAPITULATIF!B33)</f>
        <v/>
      </c>
      <c r="C24" s="50" t="str">
        <f>IF(ISBLANK(RECAPITULATIF!C33),"",RECAPITULATIF!C33)</f>
        <v/>
      </c>
      <c r="D24" s="69"/>
      <c r="E24" s="70"/>
      <c r="F24" s="69"/>
      <c r="G24" s="85"/>
      <c r="H24" s="70"/>
    </row>
    <row r="25" spans="1:8" x14ac:dyDescent="0.2">
      <c r="A25" s="50" t="str">
        <f>IF(ISBLANK(RECAPITULATIF!A34),"",RECAPITULATIF!A34)</f>
        <v/>
      </c>
      <c r="B25" s="50" t="str">
        <f>IF(ISBLANK(RECAPITULATIF!B34),"",RECAPITULATIF!B34)</f>
        <v/>
      </c>
      <c r="C25" s="50" t="str">
        <f>IF(ISBLANK(RECAPITULATIF!C34),"",RECAPITULATIF!C34)</f>
        <v/>
      </c>
      <c r="D25" s="69"/>
      <c r="E25" s="70"/>
      <c r="F25" s="69"/>
      <c r="G25" s="85"/>
      <c r="H25" s="70"/>
    </row>
    <row r="26" spans="1:8" x14ac:dyDescent="0.2">
      <c r="A26" s="50" t="str">
        <f>IF(ISBLANK(RECAPITULATIF!A35),"",RECAPITULATIF!A35)</f>
        <v/>
      </c>
      <c r="B26" s="50" t="str">
        <f>IF(ISBLANK(RECAPITULATIF!B35),"",RECAPITULATIF!B35)</f>
        <v/>
      </c>
      <c r="C26" s="50" t="str">
        <f>IF(ISBLANK(RECAPITULATIF!C35),"",RECAPITULATIF!C35)</f>
        <v/>
      </c>
      <c r="D26" s="69"/>
      <c r="E26" s="70"/>
      <c r="F26" s="69"/>
      <c r="G26" s="85"/>
      <c r="H26" s="70"/>
    </row>
    <row r="27" spans="1:8" x14ac:dyDescent="0.2">
      <c r="A27" s="50" t="str">
        <f>IF(ISBLANK(RECAPITULATIF!A36),"",RECAPITULATIF!A36)</f>
        <v/>
      </c>
      <c r="B27" s="50" t="str">
        <f>IF(ISBLANK(RECAPITULATIF!B36),"",RECAPITULATIF!B36)</f>
        <v/>
      </c>
      <c r="C27" s="50" t="str">
        <f>IF(ISBLANK(RECAPITULATIF!C36),"",RECAPITULATIF!C36)</f>
        <v/>
      </c>
      <c r="D27" s="69"/>
      <c r="E27" s="70"/>
      <c r="F27" s="69"/>
      <c r="G27" s="85"/>
      <c r="H27" s="70"/>
    </row>
    <row r="28" spans="1:8" x14ac:dyDescent="0.2">
      <c r="A28" s="50" t="str">
        <f>IF(ISBLANK(RECAPITULATIF!A37),"",RECAPITULATIF!A37)</f>
        <v/>
      </c>
      <c r="B28" s="50" t="str">
        <f>IF(ISBLANK(RECAPITULATIF!B37),"",RECAPITULATIF!B37)</f>
        <v/>
      </c>
      <c r="C28" s="50" t="str">
        <f>IF(ISBLANK(RECAPITULATIF!C37),"",RECAPITULATIF!C37)</f>
        <v/>
      </c>
      <c r="D28" s="69"/>
      <c r="E28" s="70"/>
      <c r="F28" s="69"/>
      <c r="G28" s="85"/>
      <c r="H28" s="70"/>
    </row>
    <row r="29" spans="1:8" x14ac:dyDescent="0.2">
      <c r="A29" s="50" t="str">
        <f>IF(ISBLANK(RECAPITULATIF!A38),"",RECAPITULATIF!A38)</f>
        <v/>
      </c>
      <c r="B29" s="50" t="str">
        <f>IF(ISBLANK(RECAPITULATIF!B38),"",RECAPITULATIF!B38)</f>
        <v/>
      </c>
      <c r="C29" s="50" t="str">
        <f>IF(ISBLANK(RECAPITULATIF!C38),"",RECAPITULATIF!C38)</f>
        <v/>
      </c>
      <c r="D29" s="69"/>
      <c r="E29" s="70"/>
      <c r="F29" s="69"/>
      <c r="G29" s="85"/>
      <c r="H29" s="70"/>
    </row>
    <row r="30" spans="1:8" x14ac:dyDescent="0.2">
      <c r="A30" s="50" t="str">
        <f>IF(ISBLANK(RECAPITULATIF!A39),"",RECAPITULATIF!A39)</f>
        <v/>
      </c>
      <c r="B30" s="50" t="str">
        <f>IF(ISBLANK(RECAPITULATIF!B39),"",RECAPITULATIF!B39)</f>
        <v/>
      </c>
      <c r="C30" s="50" t="str">
        <f>IF(ISBLANK(RECAPITULATIF!C39),"",RECAPITULATIF!C39)</f>
        <v/>
      </c>
      <c r="D30" s="69"/>
      <c r="E30" s="70"/>
      <c r="F30" s="69"/>
      <c r="G30" s="85"/>
      <c r="H30" s="70"/>
    </row>
    <row r="31" spans="1:8" x14ac:dyDescent="0.2">
      <c r="A31" s="50" t="str">
        <f>IF(ISBLANK(RECAPITULATIF!A40),"",RECAPITULATIF!A40)</f>
        <v/>
      </c>
      <c r="B31" s="50" t="str">
        <f>IF(ISBLANK(RECAPITULATIF!B40),"",RECAPITULATIF!B40)</f>
        <v/>
      </c>
      <c r="C31" s="50" t="str">
        <f>IF(ISBLANK(RECAPITULATIF!C40),"",RECAPITULATIF!C40)</f>
        <v/>
      </c>
      <c r="D31" s="69"/>
      <c r="E31" s="70"/>
      <c r="F31" s="69"/>
      <c r="G31" s="85"/>
      <c r="H31" s="70"/>
    </row>
    <row r="32" spans="1:8" x14ac:dyDescent="0.2">
      <c r="A32" s="50" t="str">
        <f>IF(ISBLANK(RECAPITULATIF!A41),"",RECAPITULATIF!A41)</f>
        <v/>
      </c>
      <c r="B32" s="50" t="str">
        <f>IF(ISBLANK(RECAPITULATIF!B41),"",RECAPITULATIF!B41)</f>
        <v/>
      </c>
      <c r="C32" s="50" t="str">
        <f>IF(ISBLANK(RECAPITULATIF!C41),"",RECAPITULATIF!C41)</f>
        <v/>
      </c>
      <c r="D32" s="69"/>
      <c r="E32" s="70"/>
      <c r="F32" s="69"/>
      <c r="G32" s="85"/>
      <c r="H32" s="70"/>
    </row>
    <row r="33" spans="1:8" x14ac:dyDescent="0.2">
      <c r="A33" s="50" t="str">
        <f>IF(ISBLANK(RECAPITULATIF!A42),"",RECAPITULATIF!A42)</f>
        <v/>
      </c>
      <c r="B33" s="50" t="str">
        <f>IF(ISBLANK(RECAPITULATIF!B42),"",RECAPITULATIF!B42)</f>
        <v/>
      </c>
      <c r="C33" s="50" t="str">
        <f>IF(ISBLANK(RECAPITULATIF!C42),"",RECAPITULATIF!C42)</f>
        <v/>
      </c>
      <c r="D33" s="69"/>
      <c r="E33" s="70"/>
      <c r="F33" s="69"/>
      <c r="G33" s="85"/>
      <c r="H33" s="70"/>
    </row>
    <row r="34" spans="1:8" x14ac:dyDescent="0.2">
      <c r="A34" s="50" t="str">
        <f>IF(ISBLANK(RECAPITULATIF!A43),"",RECAPITULATIF!A43)</f>
        <v/>
      </c>
      <c r="B34" s="50" t="str">
        <f>IF(ISBLANK(RECAPITULATIF!B43),"",RECAPITULATIF!B43)</f>
        <v/>
      </c>
      <c r="C34" s="50" t="str">
        <f>IF(ISBLANK(RECAPITULATIF!C43),"",RECAPITULATIF!C43)</f>
        <v/>
      </c>
      <c r="D34" s="69"/>
      <c r="E34" s="70"/>
      <c r="F34" s="69"/>
      <c r="G34" s="85"/>
      <c r="H34" s="70"/>
    </row>
    <row r="35" spans="1:8" x14ac:dyDescent="0.2">
      <c r="A35" s="50" t="str">
        <f>IF(ISBLANK(RECAPITULATIF!A44),"",RECAPITULATIF!A44)</f>
        <v/>
      </c>
      <c r="B35" s="50" t="str">
        <f>IF(ISBLANK(RECAPITULATIF!B44),"",RECAPITULATIF!B44)</f>
        <v/>
      </c>
      <c r="C35" s="50" t="str">
        <f>IF(ISBLANK(RECAPITULATIF!C44),"",RECAPITULATIF!C44)</f>
        <v/>
      </c>
      <c r="D35" s="69"/>
      <c r="E35" s="70"/>
      <c r="F35" s="69"/>
      <c r="G35" s="85"/>
      <c r="H35" s="70"/>
    </row>
    <row r="36" spans="1:8" x14ac:dyDescent="0.2">
      <c r="A36" s="50" t="str">
        <f>IF(ISBLANK(RECAPITULATIF!A45),"",RECAPITULATIF!A45)</f>
        <v/>
      </c>
      <c r="B36" s="50" t="str">
        <f>IF(ISBLANK(RECAPITULATIF!B45),"",RECAPITULATIF!B45)</f>
        <v/>
      </c>
      <c r="C36" s="50" t="str">
        <f>IF(ISBLANK(RECAPITULATIF!C45),"",RECAPITULATIF!C45)</f>
        <v/>
      </c>
      <c r="D36" s="69"/>
      <c r="E36" s="70"/>
      <c r="F36" s="69"/>
      <c r="G36" s="85"/>
      <c r="H36" s="70"/>
    </row>
    <row r="37" spans="1:8" x14ac:dyDescent="0.2">
      <c r="A37" s="50" t="str">
        <f>IF(ISBLANK(RECAPITULATIF!A46),"",RECAPITULATIF!A46)</f>
        <v/>
      </c>
      <c r="B37" s="50" t="str">
        <f>IF(ISBLANK(RECAPITULATIF!B46),"",RECAPITULATIF!B46)</f>
        <v/>
      </c>
      <c r="C37" s="50" t="str">
        <f>IF(ISBLANK(RECAPITULATIF!C46),"",RECAPITULATIF!C46)</f>
        <v/>
      </c>
      <c r="D37" s="69"/>
      <c r="E37" s="70"/>
      <c r="F37" s="69"/>
      <c r="G37" s="85"/>
      <c r="H37" s="70"/>
    </row>
    <row r="38" spans="1:8" x14ac:dyDescent="0.2">
      <c r="A38" s="50" t="str">
        <f>IF(ISBLANK(RECAPITULATIF!A47),"",RECAPITULATIF!A47)</f>
        <v/>
      </c>
      <c r="B38" s="50" t="str">
        <f>IF(ISBLANK(RECAPITULATIF!B47),"",RECAPITULATIF!B47)</f>
        <v/>
      </c>
      <c r="C38" s="50" t="str">
        <f>IF(ISBLANK(RECAPITULATIF!C47),"",RECAPITULATIF!C47)</f>
        <v/>
      </c>
      <c r="D38" s="69"/>
      <c r="E38" s="70"/>
      <c r="F38" s="69"/>
      <c r="G38" s="85"/>
      <c r="H38" s="70"/>
    </row>
    <row r="39" spans="1:8" x14ac:dyDescent="0.2">
      <c r="A39" s="50" t="str">
        <f>IF(ISBLANK(RECAPITULATIF!A48),"",RECAPITULATIF!A48)</f>
        <v/>
      </c>
      <c r="B39" s="50" t="str">
        <f>IF(ISBLANK(RECAPITULATIF!B48),"",RECAPITULATIF!B48)</f>
        <v/>
      </c>
      <c r="C39" s="50" t="str">
        <f>IF(ISBLANK(RECAPITULATIF!C48),"",RECAPITULATIF!C48)</f>
        <v/>
      </c>
      <c r="D39" s="69"/>
      <c r="E39" s="70"/>
      <c r="F39" s="69"/>
      <c r="G39" s="85"/>
      <c r="H39" s="70"/>
    </row>
    <row r="40" spans="1:8" x14ac:dyDescent="0.2">
      <c r="A40" s="50" t="str">
        <f>IF(ISBLANK(RECAPITULATIF!A49),"",RECAPITULATIF!A49)</f>
        <v/>
      </c>
      <c r="B40" s="50" t="str">
        <f>IF(ISBLANK(RECAPITULATIF!B49),"",RECAPITULATIF!B49)</f>
        <v/>
      </c>
      <c r="C40" s="50" t="str">
        <f>IF(ISBLANK(RECAPITULATIF!C49),"",RECAPITULATIF!C49)</f>
        <v/>
      </c>
      <c r="D40" s="69"/>
      <c r="E40" s="70"/>
      <c r="F40" s="69"/>
      <c r="G40" s="85"/>
      <c r="H40" s="70"/>
    </row>
    <row r="41" spans="1:8" x14ac:dyDescent="0.2">
      <c r="A41" s="50" t="str">
        <f>IF(ISBLANK(RECAPITULATIF!A50),"",RECAPITULATIF!A50)</f>
        <v/>
      </c>
      <c r="B41" s="50" t="str">
        <f>IF(ISBLANK(RECAPITULATIF!B50),"",RECAPITULATIF!B50)</f>
        <v/>
      </c>
      <c r="C41" s="50" t="str">
        <f>IF(ISBLANK(RECAPITULATIF!C50),"",RECAPITULATIF!C50)</f>
        <v/>
      </c>
      <c r="D41" s="69"/>
      <c r="E41" s="70"/>
      <c r="F41" s="69"/>
      <c r="G41" s="85"/>
      <c r="H41" s="70"/>
    </row>
    <row r="42" spans="1:8" x14ac:dyDescent="0.2">
      <c r="A42" s="50" t="str">
        <f>IF(ISBLANK(RECAPITULATIF!A51),"",RECAPITULATIF!A51)</f>
        <v/>
      </c>
      <c r="B42" s="50" t="str">
        <f>IF(ISBLANK(RECAPITULATIF!B51),"",RECAPITULATIF!B51)</f>
        <v/>
      </c>
      <c r="C42" s="50" t="str">
        <f>IF(ISBLANK(RECAPITULATIF!C51),"",RECAPITULATIF!C51)</f>
        <v/>
      </c>
      <c r="D42" s="69"/>
      <c r="E42" s="70"/>
      <c r="F42" s="69"/>
      <c r="G42" s="85"/>
      <c r="H42" s="70"/>
    </row>
    <row r="43" spans="1:8" x14ac:dyDescent="0.2">
      <c r="A43" s="50" t="str">
        <f>IF(ISBLANK(RECAPITULATIF!A52),"",RECAPITULATIF!A52)</f>
        <v/>
      </c>
      <c r="B43" s="50" t="str">
        <f>IF(ISBLANK(RECAPITULATIF!B52),"",RECAPITULATIF!B52)</f>
        <v/>
      </c>
      <c r="C43" s="50" t="str">
        <f>IF(ISBLANK(RECAPITULATIF!C52),"",RECAPITULATIF!C52)</f>
        <v/>
      </c>
      <c r="D43" s="69"/>
      <c r="E43" s="70"/>
      <c r="F43" s="69"/>
      <c r="G43" s="85"/>
      <c r="H43" s="70"/>
    </row>
    <row r="44" spans="1:8" x14ac:dyDescent="0.2">
      <c r="A44" s="50" t="str">
        <f>IF(ISBLANK(RECAPITULATIF!A53),"",RECAPITULATIF!A53)</f>
        <v/>
      </c>
      <c r="B44" s="50" t="str">
        <f>IF(ISBLANK(RECAPITULATIF!B53),"",RECAPITULATIF!B53)</f>
        <v/>
      </c>
      <c r="C44" s="50" t="str">
        <f>IF(ISBLANK(RECAPITULATIF!C53),"",RECAPITULATIF!C53)</f>
        <v/>
      </c>
      <c r="D44" s="69"/>
      <c r="E44" s="70"/>
      <c r="F44" s="69"/>
      <c r="G44" s="85"/>
      <c r="H44" s="70"/>
    </row>
    <row r="45" spans="1:8" x14ac:dyDescent="0.2">
      <c r="A45" s="50" t="str">
        <f>IF(ISBLANK(RECAPITULATIF!A54),"",RECAPITULATIF!A54)</f>
        <v/>
      </c>
      <c r="B45" s="50" t="str">
        <f>IF(ISBLANK(RECAPITULATIF!B54),"",RECAPITULATIF!B54)</f>
        <v/>
      </c>
      <c r="C45" s="50" t="str">
        <f>IF(ISBLANK(RECAPITULATIF!C54),"",RECAPITULATIF!C54)</f>
        <v/>
      </c>
      <c r="D45" s="69"/>
      <c r="E45" s="70"/>
      <c r="F45" s="69"/>
      <c r="G45" s="85"/>
      <c r="H45" s="70"/>
    </row>
    <row r="46" spans="1:8" x14ac:dyDescent="0.2">
      <c r="A46" s="50" t="str">
        <f>IF(ISBLANK(RECAPITULATIF!A55),"",RECAPITULATIF!A55)</f>
        <v/>
      </c>
      <c r="B46" s="50" t="str">
        <f>IF(ISBLANK(RECAPITULATIF!B55),"",RECAPITULATIF!B55)</f>
        <v/>
      </c>
      <c r="C46" s="50" t="str">
        <f>IF(ISBLANK(RECAPITULATIF!C55),"",RECAPITULATIF!C55)</f>
        <v/>
      </c>
      <c r="D46" s="69"/>
      <c r="E46" s="70"/>
      <c r="F46" s="69"/>
      <c r="G46" s="85"/>
      <c r="H46" s="70"/>
    </row>
    <row r="47" spans="1:8" x14ac:dyDescent="0.2">
      <c r="A47" s="50" t="str">
        <f>IF(ISBLANK(RECAPITULATIF!A56),"",RECAPITULATIF!A56)</f>
        <v/>
      </c>
      <c r="B47" s="50" t="str">
        <f>IF(ISBLANK(RECAPITULATIF!B56),"",RECAPITULATIF!B56)</f>
        <v/>
      </c>
      <c r="C47" s="50" t="str">
        <f>IF(ISBLANK(RECAPITULATIF!C56),"",RECAPITULATIF!C56)</f>
        <v/>
      </c>
      <c r="D47" s="69"/>
      <c r="E47" s="70"/>
      <c r="F47" s="69"/>
      <c r="G47" s="85"/>
      <c r="H47" s="70"/>
    </row>
    <row r="48" spans="1:8" x14ac:dyDescent="0.2">
      <c r="A48" s="50" t="str">
        <f>IF(ISBLANK(RECAPITULATIF!A57),"",RECAPITULATIF!A57)</f>
        <v/>
      </c>
      <c r="B48" s="50" t="str">
        <f>IF(ISBLANK(RECAPITULATIF!B57),"",RECAPITULATIF!B57)</f>
        <v/>
      </c>
      <c r="C48" s="50" t="str">
        <f>IF(ISBLANK(RECAPITULATIF!C57),"",RECAPITULATIF!C57)</f>
        <v/>
      </c>
      <c r="D48" s="69"/>
      <c r="E48" s="70"/>
      <c r="F48" s="69"/>
      <c r="G48" s="85"/>
      <c r="H48" s="70"/>
    </row>
    <row r="49" spans="1:8" x14ac:dyDescent="0.2">
      <c r="A49" s="50" t="str">
        <f>IF(ISBLANK(RECAPITULATIF!A58),"",RECAPITULATIF!A58)</f>
        <v/>
      </c>
      <c r="B49" s="50" t="str">
        <f>IF(ISBLANK(RECAPITULATIF!B58),"",RECAPITULATIF!B58)</f>
        <v/>
      </c>
      <c r="C49" s="50" t="str">
        <f>IF(ISBLANK(RECAPITULATIF!C58),"",RECAPITULATIF!C58)</f>
        <v/>
      </c>
      <c r="D49" s="69"/>
      <c r="E49" s="70"/>
      <c r="F49" s="69"/>
      <c r="G49" s="85"/>
      <c r="H49" s="70"/>
    </row>
    <row r="50" spans="1:8" x14ac:dyDescent="0.2">
      <c r="A50" s="50" t="str">
        <f>IF(ISBLANK(RECAPITULATIF!A59),"",RECAPITULATIF!A59)</f>
        <v/>
      </c>
      <c r="B50" s="50" t="str">
        <f>IF(ISBLANK(RECAPITULATIF!B59),"",RECAPITULATIF!B59)</f>
        <v/>
      </c>
      <c r="C50" s="50" t="str">
        <f>IF(ISBLANK(RECAPITULATIF!C59),"",RECAPITULATIF!C59)</f>
        <v/>
      </c>
      <c r="D50" s="69"/>
      <c r="E50" s="70"/>
      <c r="F50" s="69"/>
      <c r="G50" s="85"/>
      <c r="H50" s="70"/>
    </row>
    <row r="51" spans="1:8" x14ac:dyDescent="0.2">
      <c r="A51" s="50" t="str">
        <f>IF(ISBLANK(RECAPITULATIF!A60),"",RECAPITULATIF!A60)</f>
        <v/>
      </c>
      <c r="B51" s="50" t="str">
        <f>IF(ISBLANK(RECAPITULATIF!B60),"",RECAPITULATIF!B60)</f>
        <v/>
      </c>
      <c r="C51" s="50" t="str">
        <f>IF(ISBLANK(RECAPITULATIF!C60),"",RECAPITULATIF!C60)</f>
        <v/>
      </c>
      <c r="D51" s="69"/>
      <c r="E51" s="70"/>
      <c r="F51" s="69"/>
      <c r="G51" s="85"/>
      <c r="H51" s="70"/>
    </row>
    <row r="52" spans="1:8" x14ac:dyDescent="0.2">
      <c r="A52" s="50" t="str">
        <f>IF(ISBLANK(RECAPITULATIF!A61),"",RECAPITULATIF!A61)</f>
        <v/>
      </c>
      <c r="B52" s="50" t="str">
        <f>IF(ISBLANK(RECAPITULATIF!B61),"",RECAPITULATIF!B61)</f>
        <v/>
      </c>
      <c r="C52" s="50" t="str">
        <f>IF(ISBLANK(RECAPITULATIF!C61),"",RECAPITULATIF!C61)</f>
        <v/>
      </c>
      <c r="D52" s="69"/>
      <c r="E52" s="70"/>
      <c r="F52" s="69"/>
      <c r="G52" s="85"/>
      <c r="H52" s="70"/>
    </row>
    <row r="53" spans="1:8" x14ac:dyDescent="0.2">
      <c r="A53" s="50" t="str">
        <f>IF(ISBLANK(RECAPITULATIF!A62),"",RECAPITULATIF!A62)</f>
        <v/>
      </c>
      <c r="B53" s="50" t="str">
        <f>IF(ISBLANK(RECAPITULATIF!B62),"",RECAPITULATIF!B62)</f>
        <v/>
      </c>
      <c r="C53" s="50" t="str">
        <f>IF(ISBLANK(RECAPITULATIF!C62),"",RECAPITULATIF!C62)</f>
        <v/>
      </c>
      <c r="D53" s="69"/>
      <c r="E53" s="70"/>
      <c r="F53" s="69"/>
      <c r="G53" s="85"/>
      <c r="H53" s="70"/>
    </row>
    <row r="54" spans="1:8" x14ac:dyDescent="0.2">
      <c r="A54" s="50" t="str">
        <f>IF(ISBLANK(RECAPITULATIF!A63),"",RECAPITULATIF!A63)</f>
        <v/>
      </c>
      <c r="B54" s="50" t="str">
        <f>IF(ISBLANK(RECAPITULATIF!B63),"",RECAPITULATIF!B63)</f>
        <v/>
      </c>
      <c r="C54" s="50" t="str">
        <f>IF(ISBLANK(RECAPITULATIF!C63),"",RECAPITULATIF!C63)</f>
        <v/>
      </c>
      <c r="D54" s="69"/>
      <c r="E54" s="70"/>
      <c r="F54" s="69"/>
      <c r="G54" s="85"/>
      <c r="H54" s="70"/>
    </row>
    <row r="55" spans="1:8" x14ac:dyDescent="0.2">
      <c r="A55" s="50" t="str">
        <f>IF(ISBLANK(RECAPITULATIF!A64),"",RECAPITULATIF!A64)</f>
        <v/>
      </c>
      <c r="B55" s="50" t="str">
        <f>IF(ISBLANK(RECAPITULATIF!B64),"",RECAPITULATIF!B64)</f>
        <v/>
      </c>
      <c r="C55" s="50" t="str">
        <f>IF(ISBLANK(RECAPITULATIF!C64),"",RECAPITULATIF!C64)</f>
        <v/>
      </c>
      <c r="D55" s="69"/>
      <c r="E55" s="70"/>
      <c r="F55" s="69"/>
      <c r="G55" s="85"/>
      <c r="H55" s="70"/>
    </row>
    <row r="56" spans="1:8" x14ac:dyDescent="0.2">
      <c r="A56" s="50" t="str">
        <f>IF(ISBLANK(RECAPITULATIF!A65),"",RECAPITULATIF!A65)</f>
        <v/>
      </c>
      <c r="B56" s="50" t="str">
        <f>IF(ISBLANK(RECAPITULATIF!B65),"",RECAPITULATIF!B65)</f>
        <v/>
      </c>
      <c r="C56" s="50" t="str">
        <f>IF(ISBLANK(RECAPITULATIF!C65),"",RECAPITULATIF!C65)</f>
        <v/>
      </c>
      <c r="D56" s="69"/>
      <c r="E56" s="70"/>
      <c r="F56" s="69"/>
      <c r="G56" s="85"/>
      <c r="H56" s="70"/>
    </row>
    <row r="57" spans="1:8" x14ac:dyDescent="0.2">
      <c r="A57" s="50" t="str">
        <f>IF(ISBLANK(RECAPITULATIF!A66),"",RECAPITULATIF!A66)</f>
        <v/>
      </c>
      <c r="B57" s="50" t="str">
        <f>IF(ISBLANK(RECAPITULATIF!B66),"",RECAPITULATIF!B66)</f>
        <v/>
      </c>
      <c r="C57" s="50" t="str">
        <f>IF(ISBLANK(RECAPITULATIF!C66),"",RECAPITULATIF!C66)</f>
        <v/>
      </c>
      <c r="D57" s="69"/>
      <c r="E57" s="70"/>
      <c r="F57" s="69"/>
      <c r="G57" s="85"/>
      <c r="H57" s="70"/>
    </row>
    <row r="58" spans="1:8" x14ac:dyDescent="0.2">
      <c r="A58" s="50" t="str">
        <f>IF(ISBLANK(RECAPITULATIF!A67),"",RECAPITULATIF!A67)</f>
        <v/>
      </c>
      <c r="B58" s="50" t="str">
        <f>IF(ISBLANK(RECAPITULATIF!B67),"",RECAPITULATIF!B67)</f>
        <v/>
      </c>
      <c r="C58" s="50" t="str">
        <f>IF(ISBLANK(RECAPITULATIF!C67),"",RECAPITULATIF!C67)</f>
        <v/>
      </c>
      <c r="D58" s="69"/>
      <c r="E58" s="70"/>
      <c r="F58" s="69"/>
      <c r="G58" s="85"/>
      <c r="H58" s="70"/>
    </row>
    <row r="59" spans="1:8" x14ac:dyDescent="0.2">
      <c r="A59" s="50" t="str">
        <f>IF(ISBLANK(RECAPITULATIF!A68),"",RECAPITULATIF!A68)</f>
        <v/>
      </c>
      <c r="B59" s="50" t="str">
        <f>IF(ISBLANK(RECAPITULATIF!B68),"",RECAPITULATIF!B68)</f>
        <v/>
      </c>
      <c r="C59" s="50" t="str">
        <f>IF(ISBLANK(RECAPITULATIF!C68),"",RECAPITULATIF!C68)</f>
        <v/>
      </c>
      <c r="D59" s="69"/>
      <c r="E59" s="70"/>
      <c r="F59" s="69"/>
      <c r="G59" s="85"/>
      <c r="H59" s="70"/>
    </row>
    <row r="60" spans="1:8" x14ac:dyDescent="0.2">
      <c r="A60" s="50" t="str">
        <f>IF(ISBLANK(RECAPITULATIF!A69),"",RECAPITULATIF!A69)</f>
        <v/>
      </c>
      <c r="B60" s="50" t="str">
        <f>IF(ISBLANK(RECAPITULATIF!B69),"",RECAPITULATIF!B69)</f>
        <v/>
      </c>
      <c r="C60" s="50" t="str">
        <f>IF(ISBLANK(RECAPITULATIF!C69),"",RECAPITULATIF!C69)</f>
        <v/>
      </c>
      <c r="D60" s="69"/>
      <c r="E60" s="70"/>
      <c r="F60" s="69"/>
      <c r="G60" s="85"/>
      <c r="H60" s="70"/>
    </row>
    <row r="61" spans="1:8" x14ac:dyDescent="0.2">
      <c r="A61" s="50" t="str">
        <f>IF(ISBLANK(RECAPITULATIF!A70),"",RECAPITULATIF!A70)</f>
        <v/>
      </c>
      <c r="B61" s="50" t="str">
        <f>IF(ISBLANK(RECAPITULATIF!B70),"",RECAPITULATIF!B70)</f>
        <v/>
      </c>
      <c r="C61" s="50" t="str">
        <f>IF(ISBLANK(RECAPITULATIF!C70),"",RECAPITULATIF!C70)</f>
        <v/>
      </c>
      <c r="D61" s="69"/>
      <c r="E61" s="70"/>
      <c r="F61" s="69"/>
      <c r="G61" s="85"/>
      <c r="H61" s="70"/>
    </row>
    <row r="62" spans="1:8" x14ac:dyDescent="0.2">
      <c r="A62" s="50" t="str">
        <f>IF(ISBLANK(RECAPITULATIF!A71),"",RECAPITULATIF!A71)</f>
        <v/>
      </c>
      <c r="B62" s="50" t="str">
        <f>IF(ISBLANK(RECAPITULATIF!B71),"",RECAPITULATIF!B71)</f>
        <v/>
      </c>
      <c r="C62" s="50" t="str">
        <f>IF(ISBLANK(RECAPITULATIF!C71),"",RECAPITULATIF!C71)</f>
        <v/>
      </c>
      <c r="D62" s="69"/>
      <c r="E62" s="70"/>
      <c r="F62" s="69"/>
      <c r="G62" s="85"/>
      <c r="H62" s="70"/>
    </row>
    <row r="63" spans="1:8" x14ac:dyDescent="0.2">
      <c r="A63" s="50" t="str">
        <f>IF(ISBLANK(RECAPITULATIF!A72),"",RECAPITULATIF!A72)</f>
        <v/>
      </c>
      <c r="B63" s="50" t="str">
        <f>IF(ISBLANK(RECAPITULATIF!B72),"",RECAPITULATIF!B72)</f>
        <v/>
      </c>
      <c r="C63" s="50" t="str">
        <f>IF(ISBLANK(RECAPITULATIF!C72),"",RECAPITULATIF!C72)</f>
        <v/>
      </c>
      <c r="D63" s="69"/>
      <c r="E63" s="70"/>
      <c r="F63" s="69"/>
      <c r="G63" s="85"/>
      <c r="H63" s="70"/>
    </row>
    <row r="64" spans="1:8" x14ac:dyDescent="0.2">
      <c r="A64" s="50" t="str">
        <f>IF(ISBLANK(RECAPITULATIF!A73),"",RECAPITULATIF!A73)</f>
        <v/>
      </c>
      <c r="B64" s="50" t="str">
        <f>IF(ISBLANK(RECAPITULATIF!B73),"",RECAPITULATIF!B73)</f>
        <v/>
      </c>
      <c r="C64" s="50" t="str">
        <f>IF(ISBLANK(RECAPITULATIF!C73),"",RECAPITULATIF!C73)</f>
        <v/>
      </c>
      <c r="D64" s="69"/>
      <c r="E64" s="70"/>
      <c r="F64" s="69"/>
      <c r="G64" s="85"/>
      <c r="H64" s="70"/>
    </row>
    <row r="65" spans="1:8" x14ac:dyDescent="0.2">
      <c r="A65" s="50" t="str">
        <f>IF(ISBLANK(RECAPITULATIF!A74),"",RECAPITULATIF!A74)</f>
        <v/>
      </c>
      <c r="B65" s="50" t="str">
        <f>IF(ISBLANK(RECAPITULATIF!B74),"",RECAPITULATIF!B74)</f>
        <v/>
      </c>
      <c r="C65" s="50" t="str">
        <f>IF(ISBLANK(RECAPITULATIF!C74),"",RECAPITULATIF!C74)</f>
        <v/>
      </c>
      <c r="D65" s="69"/>
      <c r="E65" s="70"/>
      <c r="F65" s="69"/>
      <c r="G65" s="85"/>
      <c r="H65" s="70"/>
    </row>
    <row r="66" spans="1:8" x14ac:dyDescent="0.2">
      <c r="A66" s="50" t="str">
        <f>IF(ISBLANK(RECAPITULATIF!A75),"",RECAPITULATIF!A75)</f>
        <v/>
      </c>
      <c r="B66" s="50" t="str">
        <f>IF(ISBLANK(RECAPITULATIF!B75),"",RECAPITULATIF!B75)</f>
        <v/>
      </c>
      <c r="C66" s="50" t="str">
        <f>IF(ISBLANK(RECAPITULATIF!C75),"",RECAPITULATIF!C75)</f>
        <v/>
      </c>
      <c r="D66" s="69"/>
      <c r="E66" s="70"/>
      <c r="F66" s="69"/>
      <c r="G66" s="85"/>
      <c r="H66" s="70"/>
    </row>
    <row r="67" spans="1:8" x14ac:dyDescent="0.2">
      <c r="A67" s="50" t="str">
        <f>IF(ISBLANK(RECAPITULATIF!A76),"",RECAPITULATIF!A76)</f>
        <v/>
      </c>
      <c r="B67" s="50" t="str">
        <f>IF(ISBLANK(RECAPITULATIF!B76),"",RECAPITULATIF!B76)</f>
        <v/>
      </c>
      <c r="C67" s="50" t="str">
        <f>IF(ISBLANK(RECAPITULATIF!C76),"",RECAPITULATIF!C76)</f>
        <v/>
      </c>
      <c r="D67" s="69"/>
      <c r="E67" s="70"/>
      <c r="F67" s="69"/>
      <c r="G67" s="85"/>
      <c r="H67" s="70"/>
    </row>
    <row r="68" spans="1:8" x14ac:dyDescent="0.2">
      <c r="A68" s="50" t="str">
        <f>IF(ISBLANK(RECAPITULATIF!A77),"",RECAPITULATIF!A77)</f>
        <v/>
      </c>
      <c r="B68" s="50" t="str">
        <f>IF(ISBLANK(RECAPITULATIF!B77),"",RECAPITULATIF!B77)</f>
        <v/>
      </c>
      <c r="C68" s="50" t="str">
        <f>IF(ISBLANK(RECAPITULATIF!C77),"",RECAPITULATIF!C77)</f>
        <v/>
      </c>
      <c r="D68" s="69"/>
      <c r="E68" s="70"/>
      <c r="F68" s="69"/>
      <c r="G68" s="85"/>
      <c r="H68" s="70"/>
    </row>
    <row r="69" spans="1:8" x14ac:dyDescent="0.2">
      <c r="A69" s="50" t="str">
        <f>IF(ISBLANK(RECAPITULATIF!A78),"",RECAPITULATIF!A78)</f>
        <v/>
      </c>
      <c r="B69" s="50" t="str">
        <f>IF(ISBLANK(RECAPITULATIF!B78),"",RECAPITULATIF!B78)</f>
        <v/>
      </c>
      <c r="C69" s="50" t="str">
        <f>IF(ISBLANK(RECAPITULATIF!C78),"",RECAPITULATIF!C78)</f>
        <v/>
      </c>
      <c r="D69" s="69"/>
      <c r="E69" s="70"/>
      <c r="F69" s="69"/>
      <c r="G69" s="85"/>
      <c r="H69" s="70"/>
    </row>
    <row r="70" spans="1:8" x14ac:dyDescent="0.2">
      <c r="A70" s="50" t="str">
        <f>IF(ISBLANK(RECAPITULATIF!A79),"",RECAPITULATIF!A79)</f>
        <v/>
      </c>
      <c r="B70" s="50" t="str">
        <f>IF(ISBLANK(RECAPITULATIF!B79),"",RECAPITULATIF!B79)</f>
        <v/>
      </c>
      <c r="C70" s="50" t="str">
        <f>IF(ISBLANK(RECAPITULATIF!C79),"",RECAPITULATIF!C79)</f>
        <v/>
      </c>
      <c r="D70" s="69"/>
      <c r="E70" s="70"/>
      <c r="F70" s="69"/>
      <c r="G70" s="85"/>
      <c r="H70" s="70"/>
    </row>
    <row r="71" spans="1:8" x14ac:dyDescent="0.2">
      <c r="A71" s="50" t="str">
        <f>IF(ISBLANK(RECAPITULATIF!A80),"",RECAPITULATIF!A80)</f>
        <v/>
      </c>
      <c r="B71" s="50" t="str">
        <f>IF(ISBLANK(RECAPITULATIF!B80),"",RECAPITULATIF!B80)</f>
        <v/>
      </c>
      <c r="C71" s="50" t="str">
        <f>IF(ISBLANK(RECAPITULATIF!C80),"",RECAPITULATIF!C80)</f>
        <v/>
      </c>
      <c r="D71" s="69"/>
      <c r="E71" s="70"/>
      <c r="F71" s="69"/>
      <c r="G71" s="85"/>
      <c r="H71" s="70"/>
    </row>
    <row r="72" spans="1:8" x14ac:dyDescent="0.2">
      <c r="A72" s="50" t="str">
        <f>IF(ISBLANK(RECAPITULATIF!A81),"",RECAPITULATIF!A81)</f>
        <v/>
      </c>
      <c r="B72" s="50" t="str">
        <f>IF(ISBLANK(RECAPITULATIF!B81),"",RECAPITULATIF!B81)</f>
        <v/>
      </c>
      <c r="C72" s="50" t="str">
        <f>IF(ISBLANK(RECAPITULATIF!C81),"",RECAPITULATIF!C81)</f>
        <v/>
      </c>
      <c r="D72" s="69"/>
      <c r="E72" s="70"/>
      <c r="F72" s="69"/>
      <c r="G72" s="85"/>
      <c r="H72" s="70"/>
    </row>
    <row r="73" spans="1:8" x14ac:dyDescent="0.2">
      <c r="A73" s="50" t="str">
        <f>IF(ISBLANK(RECAPITULATIF!A82),"",RECAPITULATIF!A82)</f>
        <v/>
      </c>
      <c r="B73" s="50" t="str">
        <f>IF(ISBLANK(RECAPITULATIF!B82),"",RECAPITULATIF!B82)</f>
        <v/>
      </c>
      <c r="C73" s="50" t="str">
        <f>IF(ISBLANK(RECAPITULATIF!C82),"",RECAPITULATIF!C82)</f>
        <v/>
      </c>
      <c r="D73" s="69"/>
      <c r="E73" s="70"/>
      <c r="F73" s="69"/>
      <c r="G73" s="85"/>
      <c r="H73" s="70"/>
    </row>
    <row r="74" spans="1:8" x14ac:dyDescent="0.2">
      <c r="A74" s="50" t="str">
        <f>IF(ISBLANK(RECAPITULATIF!A83),"",RECAPITULATIF!A83)</f>
        <v/>
      </c>
      <c r="B74" s="50" t="str">
        <f>IF(ISBLANK(RECAPITULATIF!B83),"",RECAPITULATIF!B83)</f>
        <v/>
      </c>
      <c r="C74" s="50" t="str">
        <f>IF(ISBLANK(RECAPITULATIF!C83),"",RECAPITULATIF!C83)</f>
        <v/>
      </c>
      <c r="D74" s="69"/>
      <c r="E74" s="70"/>
      <c r="F74" s="69"/>
      <c r="G74" s="85"/>
      <c r="H74" s="70"/>
    </row>
    <row r="75" spans="1:8" x14ac:dyDescent="0.2">
      <c r="A75" s="50" t="str">
        <f>IF(ISBLANK(RECAPITULATIF!A84),"",RECAPITULATIF!A84)</f>
        <v/>
      </c>
      <c r="B75" s="50" t="str">
        <f>IF(ISBLANK(RECAPITULATIF!B84),"",RECAPITULATIF!B84)</f>
        <v/>
      </c>
      <c r="C75" s="50" t="str">
        <f>IF(ISBLANK(RECAPITULATIF!C84),"",RECAPITULATIF!C84)</f>
        <v/>
      </c>
      <c r="D75" s="69"/>
      <c r="E75" s="70"/>
      <c r="F75" s="69"/>
      <c r="G75" s="85"/>
      <c r="H75" s="70"/>
    </row>
    <row r="76" spans="1:8" x14ac:dyDescent="0.2">
      <c r="A76" s="50" t="str">
        <f>IF(ISBLANK(RECAPITULATIF!A85),"",RECAPITULATIF!A85)</f>
        <v/>
      </c>
      <c r="B76" s="50" t="str">
        <f>IF(ISBLANK(RECAPITULATIF!B85),"",RECAPITULATIF!B85)</f>
        <v/>
      </c>
      <c r="C76" s="50" t="str">
        <f>IF(ISBLANK(RECAPITULATIF!C85),"",RECAPITULATIF!C85)</f>
        <v/>
      </c>
      <c r="D76" s="69"/>
      <c r="E76" s="70"/>
      <c r="F76" s="69"/>
      <c r="G76" s="85"/>
      <c r="H76" s="70"/>
    </row>
    <row r="77" spans="1:8" x14ac:dyDescent="0.2">
      <c r="A77" s="50" t="str">
        <f>IF(ISBLANK(RECAPITULATIF!A86),"",RECAPITULATIF!A86)</f>
        <v/>
      </c>
      <c r="B77" s="50" t="str">
        <f>IF(ISBLANK(RECAPITULATIF!B86),"",RECAPITULATIF!B86)</f>
        <v/>
      </c>
      <c r="C77" s="50" t="str">
        <f>IF(ISBLANK(RECAPITULATIF!C86),"",RECAPITULATIF!C86)</f>
        <v/>
      </c>
      <c r="D77" s="69"/>
      <c r="E77" s="70"/>
      <c r="F77" s="69"/>
      <c r="G77" s="85"/>
      <c r="H77" s="70"/>
    </row>
    <row r="78" spans="1:8" x14ac:dyDescent="0.2">
      <c r="A78" s="50" t="str">
        <f>IF(ISBLANK(RECAPITULATIF!A87),"",RECAPITULATIF!A87)</f>
        <v/>
      </c>
      <c r="B78" s="50" t="str">
        <f>IF(ISBLANK(RECAPITULATIF!B87),"",RECAPITULATIF!B87)</f>
        <v/>
      </c>
      <c r="C78" s="50" t="str">
        <f>IF(ISBLANK(RECAPITULATIF!C87),"",RECAPITULATIF!C87)</f>
        <v/>
      </c>
      <c r="D78" s="69"/>
      <c r="E78" s="70"/>
      <c r="F78" s="69"/>
      <c r="G78" s="85"/>
      <c r="H78" s="70"/>
    </row>
    <row r="79" spans="1:8" x14ac:dyDescent="0.2">
      <c r="A79" s="50" t="str">
        <f>IF(ISBLANK(RECAPITULATIF!A88),"",RECAPITULATIF!A88)</f>
        <v/>
      </c>
      <c r="B79" s="50" t="str">
        <f>IF(ISBLANK(RECAPITULATIF!B88),"",RECAPITULATIF!B88)</f>
        <v/>
      </c>
      <c r="C79" s="50" t="str">
        <f>IF(ISBLANK(RECAPITULATIF!C88),"",RECAPITULATIF!C88)</f>
        <v/>
      </c>
      <c r="D79" s="69"/>
      <c r="E79" s="70"/>
      <c r="F79" s="69"/>
      <c r="G79" s="85"/>
      <c r="H79" s="70"/>
    </row>
    <row r="80" spans="1:8" x14ac:dyDescent="0.2">
      <c r="A80" s="50" t="str">
        <f>IF(ISBLANK(RECAPITULATIF!A89),"",RECAPITULATIF!A89)</f>
        <v/>
      </c>
      <c r="B80" s="50" t="str">
        <f>IF(ISBLANK(RECAPITULATIF!B89),"",RECAPITULATIF!B89)</f>
        <v/>
      </c>
      <c r="C80" s="50" t="str">
        <f>IF(ISBLANK(RECAPITULATIF!C89),"",RECAPITULATIF!C89)</f>
        <v/>
      </c>
      <c r="D80" s="69"/>
      <c r="E80" s="70"/>
      <c r="F80" s="69"/>
      <c r="G80" s="85"/>
      <c r="H80" s="70"/>
    </row>
    <row r="81" spans="1:8" x14ac:dyDescent="0.2">
      <c r="A81" s="50" t="str">
        <f>IF(ISBLANK(RECAPITULATIF!A90),"",RECAPITULATIF!A90)</f>
        <v/>
      </c>
      <c r="B81" s="50" t="str">
        <f>IF(ISBLANK(RECAPITULATIF!B90),"",RECAPITULATIF!B90)</f>
        <v/>
      </c>
      <c r="C81" s="50" t="str">
        <f>IF(ISBLANK(RECAPITULATIF!C90),"",RECAPITULATIF!C90)</f>
        <v/>
      </c>
      <c r="D81" s="69"/>
      <c r="E81" s="70"/>
      <c r="F81" s="69"/>
      <c r="G81" s="85"/>
      <c r="H81" s="70"/>
    </row>
    <row r="82" spans="1:8" x14ac:dyDescent="0.2">
      <c r="A82" s="50" t="str">
        <f>IF(ISBLANK(RECAPITULATIF!A91),"",RECAPITULATIF!A91)</f>
        <v/>
      </c>
      <c r="B82" s="50" t="str">
        <f>IF(ISBLANK(RECAPITULATIF!B91),"",RECAPITULATIF!B91)</f>
        <v/>
      </c>
      <c r="C82" s="50" t="str">
        <f>IF(ISBLANK(RECAPITULATIF!C91),"",RECAPITULATIF!C91)</f>
        <v/>
      </c>
      <c r="D82" s="69"/>
      <c r="E82" s="70"/>
      <c r="F82" s="69"/>
      <c r="G82" s="85"/>
      <c r="H82" s="70"/>
    </row>
    <row r="83" spans="1:8" x14ac:dyDescent="0.2">
      <c r="A83" s="50" t="str">
        <f>IF(ISBLANK(RECAPITULATIF!A92),"",RECAPITULATIF!A92)</f>
        <v/>
      </c>
      <c r="B83" s="50" t="str">
        <f>IF(ISBLANK(RECAPITULATIF!B92),"",RECAPITULATIF!B92)</f>
        <v/>
      </c>
      <c r="C83" s="50" t="str">
        <f>IF(ISBLANK(RECAPITULATIF!C92),"",RECAPITULATIF!C92)</f>
        <v/>
      </c>
      <c r="D83" s="69"/>
      <c r="E83" s="70"/>
      <c r="F83" s="69"/>
      <c r="G83" s="85"/>
      <c r="H83" s="70"/>
    </row>
    <row r="84" spans="1:8" x14ac:dyDescent="0.2">
      <c r="A84" s="50" t="str">
        <f>IF(ISBLANK(RECAPITULATIF!A93),"",RECAPITULATIF!A93)</f>
        <v/>
      </c>
      <c r="B84" s="50" t="str">
        <f>IF(ISBLANK(RECAPITULATIF!B93),"",RECAPITULATIF!B93)</f>
        <v/>
      </c>
      <c r="C84" s="50" t="str">
        <f>IF(ISBLANK(RECAPITULATIF!C93),"",RECAPITULATIF!C93)</f>
        <v/>
      </c>
      <c r="D84" s="69"/>
      <c r="E84" s="70"/>
      <c r="F84" s="69"/>
      <c r="G84" s="85"/>
      <c r="H84" s="70"/>
    </row>
    <row r="85" spans="1:8" x14ac:dyDescent="0.2">
      <c r="A85" s="50" t="str">
        <f>IF(ISBLANK(RECAPITULATIF!A94),"",RECAPITULATIF!A94)</f>
        <v/>
      </c>
      <c r="B85" s="50" t="str">
        <f>IF(ISBLANK(RECAPITULATIF!B94),"",RECAPITULATIF!B94)</f>
        <v/>
      </c>
      <c r="C85" s="50" t="str">
        <f>IF(ISBLANK(RECAPITULATIF!C94),"",RECAPITULATIF!C94)</f>
        <v/>
      </c>
      <c r="D85" s="69"/>
      <c r="E85" s="70"/>
      <c r="F85" s="69"/>
      <c r="G85" s="85"/>
      <c r="H85" s="70"/>
    </row>
    <row r="86" spans="1:8" x14ac:dyDescent="0.2">
      <c r="A86" s="50" t="str">
        <f>IF(ISBLANK(RECAPITULATIF!A95),"",RECAPITULATIF!A95)</f>
        <v/>
      </c>
      <c r="B86" s="50" t="str">
        <f>IF(ISBLANK(RECAPITULATIF!B95),"",RECAPITULATIF!B95)</f>
        <v/>
      </c>
      <c r="C86" s="50" t="str">
        <f>IF(ISBLANK(RECAPITULATIF!C95),"",RECAPITULATIF!C95)</f>
        <v/>
      </c>
      <c r="D86" s="69"/>
      <c r="E86" s="70"/>
      <c r="F86" s="69"/>
      <c r="G86" s="85"/>
      <c r="H86" s="70"/>
    </row>
    <row r="87" spans="1:8" x14ac:dyDescent="0.2">
      <c r="A87" s="50" t="str">
        <f>IF(ISBLANK(RECAPITULATIF!A96),"",RECAPITULATIF!A96)</f>
        <v/>
      </c>
      <c r="B87" s="50" t="str">
        <f>IF(ISBLANK(RECAPITULATIF!B96),"",RECAPITULATIF!B96)</f>
        <v/>
      </c>
      <c r="C87" s="50" t="str">
        <f>IF(ISBLANK(RECAPITULATIF!C96),"",RECAPITULATIF!C96)</f>
        <v/>
      </c>
      <c r="D87" s="69"/>
      <c r="E87" s="70"/>
      <c r="F87" s="69"/>
      <c r="G87" s="85"/>
      <c r="H87" s="70"/>
    </row>
    <row r="88" spans="1:8" x14ac:dyDescent="0.2">
      <c r="A88" s="50" t="str">
        <f>IF(ISBLANK(RECAPITULATIF!A97),"",RECAPITULATIF!A97)</f>
        <v/>
      </c>
      <c r="B88" s="50" t="str">
        <f>IF(ISBLANK(RECAPITULATIF!B97),"",RECAPITULATIF!B97)</f>
        <v/>
      </c>
      <c r="C88" s="50" t="str">
        <f>IF(ISBLANK(RECAPITULATIF!C97),"",RECAPITULATIF!C97)</f>
        <v/>
      </c>
      <c r="D88" s="69"/>
      <c r="E88" s="70"/>
      <c r="F88" s="69"/>
      <c r="G88" s="85"/>
      <c r="H88" s="70"/>
    </row>
    <row r="89" spans="1:8" x14ac:dyDescent="0.2">
      <c r="A89" s="50" t="str">
        <f>IF(ISBLANK(RECAPITULATIF!A98),"",RECAPITULATIF!A98)</f>
        <v/>
      </c>
      <c r="B89" s="50" t="str">
        <f>IF(ISBLANK(RECAPITULATIF!B98),"",RECAPITULATIF!B98)</f>
        <v/>
      </c>
      <c r="C89" s="50" t="str">
        <f>IF(ISBLANK(RECAPITULATIF!C98),"",RECAPITULATIF!C98)</f>
        <v/>
      </c>
      <c r="D89" s="69"/>
      <c r="E89" s="70"/>
      <c r="F89" s="69"/>
      <c r="G89" s="85"/>
      <c r="H89" s="70"/>
    </row>
    <row r="90" spans="1:8" x14ac:dyDescent="0.2">
      <c r="A90" s="50" t="str">
        <f>IF(ISBLANK(RECAPITULATIF!A99),"",RECAPITULATIF!A99)</f>
        <v/>
      </c>
      <c r="B90" s="50" t="str">
        <f>IF(ISBLANK(RECAPITULATIF!B99),"",RECAPITULATIF!B99)</f>
        <v/>
      </c>
      <c r="C90" s="50" t="str">
        <f>IF(ISBLANK(RECAPITULATIF!C99),"",RECAPITULATIF!C99)</f>
        <v/>
      </c>
      <c r="D90" s="69"/>
      <c r="E90" s="70"/>
      <c r="F90" s="69"/>
      <c r="G90" s="85"/>
      <c r="H90" s="70"/>
    </row>
    <row r="91" spans="1:8" x14ac:dyDescent="0.2">
      <c r="A91" s="50" t="str">
        <f>IF(ISBLANK(RECAPITULATIF!A100),"",RECAPITULATIF!A100)</f>
        <v/>
      </c>
      <c r="B91" s="50" t="str">
        <f>IF(ISBLANK(RECAPITULATIF!B100),"",RECAPITULATIF!B100)</f>
        <v/>
      </c>
      <c r="C91" s="50" t="str">
        <f>IF(ISBLANK(RECAPITULATIF!C100),"",RECAPITULATIF!C100)</f>
        <v/>
      </c>
      <c r="D91" s="69"/>
      <c r="E91" s="70"/>
      <c r="F91" s="69"/>
      <c r="G91" s="85"/>
      <c r="H91" s="70"/>
    </row>
    <row r="92" spans="1:8" x14ac:dyDescent="0.2">
      <c r="A92" s="50" t="str">
        <f>IF(ISBLANK(RECAPITULATIF!A101),"",RECAPITULATIF!A101)</f>
        <v/>
      </c>
      <c r="B92" s="50" t="str">
        <f>IF(ISBLANK(RECAPITULATIF!B101),"",RECAPITULATIF!B101)</f>
        <v/>
      </c>
      <c r="C92" s="50" t="str">
        <f>IF(ISBLANK(RECAPITULATIF!C101),"",RECAPITULATIF!C101)</f>
        <v/>
      </c>
      <c r="D92" s="69"/>
      <c r="E92" s="70"/>
      <c r="F92" s="69"/>
      <c r="G92" s="85"/>
      <c r="H92" s="70"/>
    </row>
    <row r="93" spans="1:8" x14ac:dyDescent="0.2">
      <c r="A93" s="50" t="str">
        <f>IF(ISBLANK(RECAPITULATIF!A102),"",RECAPITULATIF!A102)</f>
        <v/>
      </c>
      <c r="B93" s="50" t="str">
        <f>IF(ISBLANK(RECAPITULATIF!B102),"",RECAPITULATIF!B102)</f>
        <v/>
      </c>
      <c r="C93" s="50" t="str">
        <f>IF(ISBLANK(RECAPITULATIF!C102),"",RECAPITULATIF!C102)</f>
        <v/>
      </c>
      <c r="D93" s="69"/>
      <c r="E93" s="70"/>
      <c r="F93" s="69"/>
      <c r="G93" s="85"/>
      <c r="H93" s="70"/>
    </row>
    <row r="94" spans="1:8" x14ac:dyDescent="0.2">
      <c r="A94" s="50" t="str">
        <f>IF(ISBLANK(RECAPITULATIF!A103),"",RECAPITULATIF!A103)</f>
        <v/>
      </c>
      <c r="B94" s="50" t="str">
        <f>IF(ISBLANK(RECAPITULATIF!B103),"",RECAPITULATIF!B103)</f>
        <v/>
      </c>
      <c r="C94" s="50" t="str">
        <f>IF(ISBLANK(RECAPITULATIF!C103),"",RECAPITULATIF!C103)</f>
        <v/>
      </c>
      <c r="D94" s="69"/>
      <c r="E94" s="70"/>
      <c r="F94" s="69"/>
      <c r="G94" s="85"/>
      <c r="H94" s="70"/>
    </row>
    <row r="95" spans="1:8" x14ac:dyDescent="0.2">
      <c r="A95" s="50" t="str">
        <f>IF(ISBLANK(RECAPITULATIF!A104),"",RECAPITULATIF!A104)</f>
        <v/>
      </c>
      <c r="B95" s="50" t="str">
        <f>IF(ISBLANK(RECAPITULATIF!B104),"",RECAPITULATIF!B104)</f>
        <v/>
      </c>
      <c r="C95" s="50" t="str">
        <f>IF(ISBLANK(RECAPITULATIF!C104),"",RECAPITULATIF!C104)</f>
        <v/>
      </c>
      <c r="D95" s="69"/>
      <c r="E95" s="70"/>
      <c r="F95" s="69"/>
      <c r="G95" s="85"/>
      <c r="H95" s="70"/>
    </row>
    <row r="96" spans="1:8" x14ac:dyDescent="0.2">
      <c r="A96" s="50" t="str">
        <f>IF(ISBLANK(RECAPITULATIF!A105),"",RECAPITULATIF!A105)</f>
        <v/>
      </c>
      <c r="B96" s="50" t="str">
        <f>IF(ISBLANK(RECAPITULATIF!B105),"",RECAPITULATIF!B105)</f>
        <v/>
      </c>
      <c r="C96" s="50" t="str">
        <f>IF(ISBLANK(RECAPITULATIF!C105),"",RECAPITULATIF!C105)</f>
        <v/>
      </c>
      <c r="D96" s="69"/>
      <c r="E96" s="70"/>
      <c r="F96" s="69"/>
      <c r="G96" s="85"/>
      <c r="H96" s="70"/>
    </row>
    <row r="97" spans="1:8" x14ac:dyDescent="0.2">
      <c r="A97" s="50" t="str">
        <f>IF(ISBLANK(RECAPITULATIF!A106),"",RECAPITULATIF!A106)</f>
        <v/>
      </c>
      <c r="B97" s="50" t="str">
        <f>IF(ISBLANK(RECAPITULATIF!B106),"",RECAPITULATIF!B106)</f>
        <v/>
      </c>
      <c r="C97" s="50" t="str">
        <f>IF(ISBLANK(RECAPITULATIF!C106),"",RECAPITULATIF!C106)</f>
        <v/>
      </c>
      <c r="D97" s="69"/>
      <c r="E97" s="70"/>
      <c r="F97" s="69"/>
      <c r="G97" s="85"/>
      <c r="H97" s="70"/>
    </row>
    <row r="98" spans="1:8" x14ac:dyDescent="0.2">
      <c r="A98" s="50" t="str">
        <f>IF(ISBLANK(RECAPITULATIF!A107),"",RECAPITULATIF!A107)</f>
        <v/>
      </c>
      <c r="B98" s="50" t="str">
        <f>IF(ISBLANK(RECAPITULATIF!B107),"",RECAPITULATIF!B107)</f>
        <v/>
      </c>
      <c r="C98" s="50" t="str">
        <f>IF(ISBLANK(RECAPITULATIF!C107),"",RECAPITULATIF!C107)</f>
        <v/>
      </c>
      <c r="D98" s="69"/>
      <c r="E98" s="70"/>
      <c r="F98" s="69"/>
      <c r="G98" s="85"/>
      <c r="H98" s="70"/>
    </row>
    <row r="99" spans="1:8" x14ac:dyDescent="0.2">
      <c r="A99" s="50" t="str">
        <f>IF(ISBLANK(RECAPITULATIF!A108),"",RECAPITULATIF!A108)</f>
        <v/>
      </c>
      <c r="B99" s="50" t="str">
        <f>IF(ISBLANK(RECAPITULATIF!B108),"",RECAPITULATIF!B108)</f>
        <v/>
      </c>
      <c r="C99" s="50" t="str">
        <f>IF(ISBLANK(RECAPITULATIF!C108),"",RECAPITULATIF!C108)</f>
        <v/>
      </c>
      <c r="D99" s="69"/>
      <c r="E99" s="70"/>
      <c r="F99" s="69"/>
      <c r="G99" s="85"/>
      <c r="H99" s="70"/>
    </row>
    <row r="100" spans="1:8" x14ac:dyDescent="0.2">
      <c r="A100" s="50" t="str">
        <f>IF(ISBLANK(RECAPITULATIF!A109),"",RECAPITULATIF!A109)</f>
        <v/>
      </c>
      <c r="B100" s="50" t="str">
        <f>IF(ISBLANK(RECAPITULATIF!B109),"",RECAPITULATIF!B109)</f>
        <v/>
      </c>
      <c r="C100" s="50" t="str">
        <f>IF(ISBLANK(RECAPITULATIF!C109),"",RECAPITULATIF!C109)</f>
        <v/>
      </c>
      <c r="D100" s="69"/>
      <c r="E100" s="70"/>
      <c r="F100" s="69"/>
      <c r="G100" s="85"/>
      <c r="H100" s="70"/>
    </row>
    <row r="101" spans="1:8" x14ac:dyDescent="0.2">
      <c r="A101" s="50" t="str">
        <f>IF(ISBLANK(RECAPITULATIF!A110),"",RECAPITULATIF!A110)</f>
        <v/>
      </c>
      <c r="B101" s="50" t="str">
        <f>IF(ISBLANK(RECAPITULATIF!B110),"",RECAPITULATIF!B110)</f>
        <v/>
      </c>
      <c r="C101" s="50" t="str">
        <f>IF(ISBLANK(RECAPITULATIF!C110),"",RECAPITULATIF!C110)</f>
        <v/>
      </c>
      <c r="D101" s="69"/>
      <c r="E101" s="70"/>
      <c r="F101" s="69"/>
      <c r="G101" s="85"/>
      <c r="H101" s="70"/>
    </row>
    <row r="102" spans="1:8" x14ac:dyDescent="0.2">
      <c r="A102" s="50" t="str">
        <f>IF(ISBLANK(RECAPITULATIF!A111),"",RECAPITULATIF!A111)</f>
        <v/>
      </c>
      <c r="B102" s="50" t="str">
        <f>IF(ISBLANK(RECAPITULATIF!B111),"",RECAPITULATIF!B111)</f>
        <v/>
      </c>
      <c r="C102" s="50" t="str">
        <f>IF(ISBLANK(RECAPITULATIF!C111),"",RECAPITULATIF!C111)</f>
        <v/>
      </c>
      <c r="D102" s="69"/>
      <c r="E102" s="70"/>
      <c r="F102" s="69"/>
      <c r="G102" s="85"/>
      <c r="H102" s="70"/>
    </row>
    <row r="103" spans="1:8" x14ac:dyDescent="0.2">
      <c r="A103" s="50" t="str">
        <f>IF(ISBLANK(RECAPITULATIF!A112),"",RECAPITULATIF!A112)</f>
        <v/>
      </c>
      <c r="B103" s="50" t="str">
        <f>IF(ISBLANK(RECAPITULATIF!B112),"",RECAPITULATIF!B112)</f>
        <v/>
      </c>
      <c r="C103" s="50" t="str">
        <f>IF(ISBLANK(RECAPITULATIF!C112),"",RECAPITULATIF!C112)</f>
        <v/>
      </c>
      <c r="D103" s="69"/>
      <c r="E103" s="70"/>
      <c r="F103" s="69"/>
      <c r="G103" s="85"/>
      <c r="H103" s="70"/>
    </row>
    <row r="104" spans="1:8" x14ac:dyDescent="0.2">
      <c r="A104" s="50" t="str">
        <f>IF(ISBLANK(RECAPITULATIF!A113),"",RECAPITULATIF!A113)</f>
        <v/>
      </c>
      <c r="B104" s="50" t="str">
        <f>IF(ISBLANK(RECAPITULATIF!B113),"",RECAPITULATIF!B113)</f>
        <v/>
      </c>
      <c r="C104" s="50" t="str">
        <f>IF(ISBLANK(RECAPITULATIF!C113),"",RECAPITULATIF!C113)</f>
        <v/>
      </c>
      <c r="D104" s="69"/>
      <c r="E104" s="70"/>
      <c r="F104" s="69"/>
      <c r="G104" s="85"/>
      <c r="H104" s="70"/>
    </row>
    <row r="105" spans="1:8" x14ac:dyDescent="0.2">
      <c r="A105" s="50" t="str">
        <f>IF(ISBLANK(RECAPITULATIF!A114),"",RECAPITULATIF!A114)</f>
        <v/>
      </c>
      <c r="B105" s="50" t="str">
        <f>IF(ISBLANK(RECAPITULATIF!B114),"",RECAPITULATIF!B114)</f>
        <v/>
      </c>
      <c r="C105" s="50" t="str">
        <f>IF(ISBLANK(RECAPITULATIF!C114),"",RECAPITULATIF!C114)</f>
        <v/>
      </c>
      <c r="D105" s="69"/>
      <c r="E105" s="70"/>
      <c r="F105" s="69"/>
      <c r="G105" s="85"/>
      <c r="H105" s="70"/>
    </row>
    <row r="106" spans="1:8" x14ac:dyDescent="0.2">
      <c r="A106" s="50" t="str">
        <f>IF(ISBLANK(RECAPITULATIF!A115),"",RECAPITULATIF!A115)</f>
        <v/>
      </c>
      <c r="B106" s="50" t="str">
        <f>IF(ISBLANK(RECAPITULATIF!B115),"",RECAPITULATIF!B115)</f>
        <v/>
      </c>
      <c r="C106" s="50" t="str">
        <f>IF(ISBLANK(RECAPITULATIF!C115),"",RECAPITULATIF!C115)</f>
        <v/>
      </c>
      <c r="D106" s="69"/>
      <c r="E106" s="70"/>
      <c r="F106" s="69"/>
      <c r="G106" s="85"/>
      <c r="H106" s="70"/>
    </row>
    <row r="107" spans="1:8" x14ac:dyDescent="0.2">
      <c r="A107" s="50" t="str">
        <f>IF(ISBLANK(RECAPITULATIF!A116),"",RECAPITULATIF!A116)</f>
        <v/>
      </c>
      <c r="B107" s="50" t="str">
        <f>IF(ISBLANK(RECAPITULATIF!B116),"",RECAPITULATIF!B116)</f>
        <v/>
      </c>
      <c r="C107" s="50" t="str">
        <f>IF(ISBLANK(RECAPITULATIF!C116),"",RECAPITULATIF!C116)</f>
        <v/>
      </c>
      <c r="D107" s="69"/>
      <c r="E107" s="70"/>
      <c r="F107" s="69"/>
      <c r="G107" s="85"/>
      <c r="H107" s="70"/>
    </row>
    <row r="108" spans="1:8" x14ac:dyDescent="0.2">
      <c r="A108" s="50" t="str">
        <f>IF(ISBLANK(RECAPITULATIF!A117),"",RECAPITULATIF!A117)</f>
        <v/>
      </c>
      <c r="B108" s="50" t="str">
        <f>IF(ISBLANK(RECAPITULATIF!B117),"",RECAPITULATIF!B117)</f>
        <v/>
      </c>
      <c r="C108" s="50" t="str">
        <f>IF(ISBLANK(RECAPITULATIF!C117),"",RECAPITULATIF!C117)</f>
        <v/>
      </c>
      <c r="D108" s="69"/>
      <c r="E108" s="70"/>
      <c r="F108" s="69"/>
      <c r="G108" s="85"/>
      <c r="H108" s="70"/>
    </row>
    <row r="109" spans="1:8" x14ac:dyDescent="0.2">
      <c r="A109" s="50" t="str">
        <f>IF(ISBLANK(RECAPITULATIF!A118),"",RECAPITULATIF!A118)</f>
        <v/>
      </c>
      <c r="B109" s="50" t="str">
        <f>IF(ISBLANK(RECAPITULATIF!B118),"",RECAPITULATIF!B118)</f>
        <v/>
      </c>
      <c r="C109" s="50" t="str">
        <f>IF(ISBLANK(RECAPITULATIF!C118),"",RECAPITULATIF!C118)</f>
        <v/>
      </c>
      <c r="D109" s="69"/>
      <c r="E109" s="70"/>
      <c r="F109" s="69"/>
      <c r="G109" s="85"/>
      <c r="H109" s="70"/>
    </row>
    <row r="110" spans="1:8" x14ac:dyDescent="0.2">
      <c r="A110" s="50" t="str">
        <f>IF(ISBLANK(RECAPITULATIF!A119),"",RECAPITULATIF!A119)</f>
        <v/>
      </c>
      <c r="B110" s="50" t="str">
        <f>IF(ISBLANK(RECAPITULATIF!B119),"",RECAPITULATIF!B119)</f>
        <v/>
      </c>
      <c r="C110" s="50" t="str">
        <f>IF(ISBLANK(RECAPITULATIF!C119),"",RECAPITULATIF!C119)</f>
        <v/>
      </c>
      <c r="D110" s="69"/>
      <c r="E110" s="70"/>
      <c r="F110" s="69"/>
      <c r="G110" s="85"/>
      <c r="H110" s="70"/>
    </row>
    <row r="111" spans="1:8" x14ac:dyDescent="0.2">
      <c r="A111" s="50" t="str">
        <f>IF(ISBLANK(RECAPITULATIF!A120),"",RECAPITULATIF!A120)</f>
        <v/>
      </c>
      <c r="B111" s="50" t="str">
        <f>IF(ISBLANK(RECAPITULATIF!B120),"",RECAPITULATIF!B120)</f>
        <v/>
      </c>
      <c r="C111" s="50" t="str">
        <f>IF(ISBLANK(RECAPITULATIF!C120),"",RECAPITULATIF!C120)</f>
        <v/>
      </c>
      <c r="D111" s="69"/>
      <c r="E111" s="70"/>
      <c r="F111" s="69"/>
      <c r="G111" s="85"/>
      <c r="H111" s="70"/>
    </row>
    <row r="112" spans="1:8" x14ac:dyDescent="0.2">
      <c r="A112" s="50" t="str">
        <f>IF(ISBLANK(RECAPITULATIF!A121),"",RECAPITULATIF!A121)</f>
        <v/>
      </c>
      <c r="B112" s="50" t="str">
        <f>IF(ISBLANK(RECAPITULATIF!B121),"",RECAPITULATIF!B121)</f>
        <v/>
      </c>
      <c r="C112" s="50" t="str">
        <f>IF(ISBLANK(RECAPITULATIF!C121),"",RECAPITULATIF!C121)</f>
        <v/>
      </c>
      <c r="D112" s="69"/>
      <c r="E112" s="70"/>
      <c r="F112" s="69"/>
      <c r="G112" s="85"/>
      <c r="H112" s="70"/>
    </row>
    <row r="113" spans="1:8" x14ac:dyDescent="0.2">
      <c r="A113" s="50" t="str">
        <f>IF(ISBLANK(RECAPITULATIF!A122),"",RECAPITULATIF!A122)</f>
        <v/>
      </c>
      <c r="B113" s="50" t="str">
        <f>IF(ISBLANK(RECAPITULATIF!B122),"",RECAPITULATIF!B122)</f>
        <v/>
      </c>
      <c r="C113" s="50" t="str">
        <f>IF(ISBLANK(RECAPITULATIF!C122),"",RECAPITULATIF!C122)</f>
        <v/>
      </c>
      <c r="D113" s="69"/>
      <c r="E113" s="70"/>
      <c r="F113" s="69"/>
      <c r="G113" s="85"/>
      <c r="H113" s="70"/>
    </row>
    <row r="114" spans="1:8" x14ac:dyDescent="0.2">
      <c r="A114" s="50" t="str">
        <f>IF(ISBLANK(RECAPITULATIF!A123),"",RECAPITULATIF!A123)</f>
        <v/>
      </c>
      <c r="B114" s="50" t="str">
        <f>IF(ISBLANK(RECAPITULATIF!B123),"",RECAPITULATIF!B123)</f>
        <v/>
      </c>
      <c r="C114" s="50" t="str">
        <f>IF(ISBLANK(RECAPITULATIF!C123),"",RECAPITULATIF!C123)</f>
        <v/>
      </c>
      <c r="D114" s="69"/>
      <c r="E114" s="70"/>
      <c r="F114" s="69"/>
      <c r="G114" s="85"/>
      <c r="H114" s="70"/>
    </row>
    <row r="115" spans="1:8" x14ac:dyDescent="0.2">
      <c r="A115" s="50" t="str">
        <f>IF(ISBLANK(RECAPITULATIF!A124),"",RECAPITULATIF!A124)</f>
        <v/>
      </c>
      <c r="B115" s="50" t="str">
        <f>IF(ISBLANK(RECAPITULATIF!B124),"",RECAPITULATIF!B124)</f>
        <v/>
      </c>
      <c r="C115" s="50" t="str">
        <f>IF(ISBLANK(RECAPITULATIF!C124),"",RECAPITULATIF!C124)</f>
        <v/>
      </c>
      <c r="D115" s="69"/>
      <c r="E115" s="70"/>
      <c r="F115" s="69"/>
      <c r="G115" s="85"/>
      <c r="H115" s="70"/>
    </row>
    <row r="116" spans="1:8" x14ac:dyDescent="0.2">
      <c r="A116" s="50" t="str">
        <f>IF(ISBLANK(RECAPITULATIF!A125),"",RECAPITULATIF!A125)</f>
        <v/>
      </c>
      <c r="B116" s="50" t="str">
        <f>IF(ISBLANK(RECAPITULATIF!B125),"",RECAPITULATIF!B125)</f>
        <v/>
      </c>
      <c r="C116" s="50" t="str">
        <f>IF(ISBLANK(RECAPITULATIF!C125),"",RECAPITULATIF!C125)</f>
        <v/>
      </c>
      <c r="D116" s="69"/>
      <c r="E116" s="70"/>
      <c r="F116" s="69"/>
      <c r="G116" s="85"/>
      <c r="H116" s="70"/>
    </row>
    <row r="117" spans="1:8" x14ac:dyDescent="0.2">
      <c r="A117" s="50" t="str">
        <f>IF(ISBLANK(RECAPITULATIF!A126),"",RECAPITULATIF!A126)</f>
        <v/>
      </c>
      <c r="B117" s="50" t="str">
        <f>IF(ISBLANK(RECAPITULATIF!B126),"",RECAPITULATIF!B126)</f>
        <v/>
      </c>
      <c r="C117" s="50" t="str">
        <f>IF(ISBLANK(RECAPITULATIF!C126),"",RECAPITULATIF!C126)</f>
        <v/>
      </c>
      <c r="D117" s="69"/>
      <c r="E117" s="70"/>
      <c r="F117" s="69"/>
      <c r="G117" s="85"/>
      <c r="H117" s="70"/>
    </row>
    <row r="118" spans="1:8" x14ac:dyDescent="0.2">
      <c r="A118" s="50" t="str">
        <f>IF(ISBLANK(RECAPITULATIF!A127),"",RECAPITULATIF!A127)</f>
        <v/>
      </c>
      <c r="B118" s="50" t="str">
        <f>IF(ISBLANK(RECAPITULATIF!B127),"",RECAPITULATIF!B127)</f>
        <v/>
      </c>
      <c r="C118" s="50" t="str">
        <f>IF(ISBLANK(RECAPITULATIF!C127),"",RECAPITULATIF!C127)</f>
        <v/>
      </c>
      <c r="D118" s="69"/>
      <c r="E118" s="70"/>
      <c r="F118" s="69"/>
      <c r="G118" s="85"/>
      <c r="H118" s="70"/>
    </row>
    <row r="119" spans="1:8" x14ac:dyDescent="0.2">
      <c r="A119" s="50" t="str">
        <f>IF(ISBLANK(RECAPITULATIF!A128),"",RECAPITULATIF!A128)</f>
        <v/>
      </c>
      <c r="B119" s="50" t="str">
        <f>IF(ISBLANK(RECAPITULATIF!B128),"",RECAPITULATIF!B128)</f>
        <v/>
      </c>
      <c r="C119" s="50" t="str">
        <f>IF(ISBLANK(RECAPITULATIF!C128),"",RECAPITULATIF!C128)</f>
        <v/>
      </c>
      <c r="D119" s="69"/>
      <c r="E119" s="70"/>
      <c r="F119" s="69"/>
      <c r="G119" s="85"/>
      <c r="H119" s="70"/>
    </row>
    <row r="120" spans="1:8" x14ac:dyDescent="0.2">
      <c r="A120" s="50" t="str">
        <f>IF(ISBLANK(RECAPITULATIF!A129),"",RECAPITULATIF!A129)</f>
        <v/>
      </c>
      <c r="B120" s="50" t="str">
        <f>IF(ISBLANK(RECAPITULATIF!B129),"",RECAPITULATIF!B129)</f>
        <v/>
      </c>
      <c r="C120" s="50" t="str">
        <f>IF(ISBLANK(RECAPITULATIF!C129),"",RECAPITULATIF!C129)</f>
        <v/>
      </c>
      <c r="D120" s="69"/>
      <c r="E120" s="70"/>
      <c r="F120" s="69"/>
      <c r="G120" s="85"/>
      <c r="H120" s="70"/>
    </row>
    <row r="121" spans="1:8" x14ac:dyDescent="0.2">
      <c r="A121" s="50" t="str">
        <f>IF(ISBLANK(RECAPITULATIF!A130),"",RECAPITULATIF!A130)</f>
        <v/>
      </c>
      <c r="B121" s="50" t="str">
        <f>IF(ISBLANK(RECAPITULATIF!B130),"",RECAPITULATIF!B130)</f>
        <v/>
      </c>
      <c r="C121" s="50" t="str">
        <f>IF(ISBLANK(RECAPITULATIF!C130),"",RECAPITULATIF!C130)</f>
        <v/>
      </c>
      <c r="D121" s="69"/>
      <c r="E121" s="70"/>
      <c r="F121" s="69"/>
      <c r="G121" s="85"/>
      <c r="H121" s="70"/>
    </row>
    <row r="122" spans="1:8" x14ac:dyDescent="0.2">
      <c r="A122" s="50" t="str">
        <f>IF(ISBLANK(RECAPITULATIF!A131),"",RECAPITULATIF!A131)</f>
        <v/>
      </c>
      <c r="B122" s="50" t="str">
        <f>IF(ISBLANK(RECAPITULATIF!B131),"",RECAPITULATIF!B131)</f>
        <v/>
      </c>
      <c r="C122" s="50" t="str">
        <f>IF(ISBLANK(RECAPITULATIF!C131),"",RECAPITULATIF!C131)</f>
        <v/>
      </c>
      <c r="D122" s="69"/>
      <c r="E122" s="70"/>
      <c r="F122" s="69"/>
      <c r="G122" s="85"/>
      <c r="H122" s="70"/>
    </row>
    <row r="123" spans="1:8" x14ac:dyDescent="0.2">
      <c r="A123" s="50" t="str">
        <f>IF(ISBLANK(RECAPITULATIF!A132),"",RECAPITULATIF!A132)</f>
        <v/>
      </c>
      <c r="B123" s="50" t="str">
        <f>IF(ISBLANK(RECAPITULATIF!B132),"",RECAPITULATIF!B132)</f>
        <v/>
      </c>
      <c r="C123" s="50" t="str">
        <f>IF(ISBLANK(RECAPITULATIF!C132),"",RECAPITULATIF!C132)</f>
        <v/>
      </c>
      <c r="D123" s="69"/>
      <c r="E123" s="70"/>
      <c r="F123" s="69"/>
      <c r="G123" s="85"/>
      <c r="H123" s="70"/>
    </row>
    <row r="124" spans="1:8" x14ac:dyDescent="0.2">
      <c r="A124" s="50" t="str">
        <f>IF(ISBLANK(RECAPITULATIF!A133),"",RECAPITULATIF!A133)</f>
        <v/>
      </c>
      <c r="B124" s="50" t="str">
        <f>IF(ISBLANK(RECAPITULATIF!B133),"",RECAPITULATIF!B133)</f>
        <v/>
      </c>
      <c r="C124" s="50" t="str">
        <f>IF(ISBLANK(RECAPITULATIF!C133),"",RECAPITULATIF!C133)</f>
        <v/>
      </c>
      <c r="D124" s="69"/>
      <c r="E124" s="70"/>
      <c r="F124" s="69"/>
      <c r="G124" s="85"/>
      <c r="H124" s="70"/>
    </row>
    <row r="125" spans="1:8" x14ac:dyDescent="0.2">
      <c r="A125" s="50" t="str">
        <f>IF(ISBLANK(RECAPITULATIF!A134),"",RECAPITULATIF!A134)</f>
        <v/>
      </c>
      <c r="B125" s="50" t="str">
        <f>IF(ISBLANK(RECAPITULATIF!B134),"",RECAPITULATIF!B134)</f>
        <v/>
      </c>
      <c r="C125" s="50" t="str">
        <f>IF(ISBLANK(RECAPITULATIF!C134),"",RECAPITULATIF!C134)</f>
        <v/>
      </c>
      <c r="D125" s="69"/>
      <c r="E125" s="70"/>
      <c r="F125" s="69"/>
      <c r="G125" s="85"/>
      <c r="H125" s="70"/>
    </row>
    <row r="126" spans="1:8" x14ac:dyDescent="0.2">
      <c r="A126" s="50" t="str">
        <f>IF(ISBLANK(RECAPITULATIF!A135),"",RECAPITULATIF!A135)</f>
        <v/>
      </c>
      <c r="B126" s="50" t="str">
        <f>IF(ISBLANK(RECAPITULATIF!B135),"",RECAPITULATIF!B135)</f>
        <v/>
      </c>
      <c r="C126" s="50" t="str">
        <f>IF(ISBLANK(RECAPITULATIF!C135),"",RECAPITULATIF!C135)</f>
        <v/>
      </c>
      <c r="D126" s="69"/>
      <c r="E126" s="70"/>
      <c r="F126" s="69"/>
      <c r="G126" s="85"/>
      <c r="H126" s="70"/>
    </row>
    <row r="127" spans="1:8" x14ac:dyDescent="0.2">
      <c r="A127" s="50" t="str">
        <f>IF(ISBLANK(RECAPITULATIF!A136),"",RECAPITULATIF!A136)</f>
        <v/>
      </c>
      <c r="B127" s="50" t="str">
        <f>IF(ISBLANK(RECAPITULATIF!B136),"",RECAPITULATIF!B136)</f>
        <v/>
      </c>
      <c r="C127" s="50" t="str">
        <f>IF(ISBLANK(RECAPITULATIF!C136),"",RECAPITULATIF!C136)</f>
        <v/>
      </c>
      <c r="D127" s="69"/>
      <c r="E127" s="70"/>
      <c r="F127" s="69"/>
      <c r="G127" s="85"/>
      <c r="H127" s="70"/>
    </row>
    <row r="128" spans="1:8" x14ac:dyDescent="0.2">
      <c r="A128" s="50" t="str">
        <f>IF(ISBLANK(RECAPITULATIF!A137),"",RECAPITULATIF!A137)</f>
        <v/>
      </c>
      <c r="B128" s="50" t="str">
        <f>IF(ISBLANK(RECAPITULATIF!B137),"",RECAPITULATIF!B137)</f>
        <v/>
      </c>
      <c r="C128" s="50" t="str">
        <f>IF(ISBLANK(RECAPITULATIF!C137),"",RECAPITULATIF!C137)</f>
        <v/>
      </c>
      <c r="D128" s="69"/>
      <c r="E128" s="70"/>
      <c r="F128" s="69"/>
      <c r="G128" s="85"/>
      <c r="H128" s="70"/>
    </row>
    <row r="129" spans="1:8" x14ac:dyDescent="0.2">
      <c r="A129" s="50" t="str">
        <f>IF(ISBLANK(RECAPITULATIF!A138),"",RECAPITULATIF!A138)</f>
        <v/>
      </c>
      <c r="B129" s="50" t="str">
        <f>IF(ISBLANK(RECAPITULATIF!B138),"",RECAPITULATIF!B138)</f>
        <v/>
      </c>
      <c r="C129" s="50" t="str">
        <f>IF(ISBLANK(RECAPITULATIF!C138),"",RECAPITULATIF!C138)</f>
        <v/>
      </c>
      <c r="D129" s="69"/>
      <c r="E129" s="70"/>
      <c r="F129" s="69"/>
      <c r="G129" s="85"/>
      <c r="H129" s="70"/>
    </row>
    <row r="130" spans="1:8" x14ac:dyDescent="0.2">
      <c r="A130" s="50" t="str">
        <f>IF(ISBLANK(RECAPITULATIF!A139),"",RECAPITULATIF!A139)</f>
        <v/>
      </c>
      <c r="B130" s="50" t="str">
        <f>IF(ISBLANK(RECAPITULATIF!B139),"",RECAPITULATIF!B139)</f>
        <v/>
      </c>
      <c r="C130" s="50" t="str">
        <f>IF(ISBLANK(RECAPITULATIF!C139),"",RECAPITULATIF!C139)</f>
        <v/>
      </c>
      <c r="D130" s="69"/>
      <c r="E130" s="70"/>
      <c r="F130" s="69"/>
      <c r="G130" s="85"/>
      <c r="H130" s="70"/>
    </row>
    <row r="131" spans="1:8" x14ac:dyDescent="0.2">
      <c r="A131" s="50" t="str">
        <f>IF(ISBLANK(RECAPITULATIF!A140),"",RECAPITULATIF!A140)</f>
        <v/>
      </c>
      <c r="B131" s="50" t="str">
        <f>IF(ISBLANK(RECAPITULATIF!B140),"",RECAPITULATIF!B140)</f>
        <v/>
      </c>
      <c r="C131" s="50" t="str">
        <f>IF(ISBLANK(RECAPITULATIF!C140),"",RECAPITULATIF!C140)</f>
        <v/>
      </c>
      <c r="D131" s="69"/>
      <c r="E131" s="70"/>
      <c r="F131" s="69"/>
      <c r="G131" s="85"/>
      <c r="H131" s="70"/>
    </row>
    <row r="132" spans="1:8" x14ac:dyDescent="0.2">
      <c r="A132" s="50" t="str">
        <f>IF(ISBLANK(RECAPITULATIF!A141),"",RECAPITULATIF!A141)</f>
        <v/>
      </c>
      <c r="B132" s="50" t="str">
        <f>IF(ISBLANK(RECAPITULATIF!B141),"",RECAPITULATIF!B141)</f>
        <v/>
      </c>
      <c r="C132" s="50" t="str">
        <f>IF(ISBLANK(RECAPITULATIF!C141),"",RECAPITULATIF!C141)</f>
        <v/>
      </c>
      <c r="D132" s="69"/>
      <c r="E132" s="70"/>
      <c r="F132" s="69"/>
      <c r="G132" s="85"/>
      <c r="H132" s="70"/>
    </row>
    <row r="133" spans="1:8" x14ac:dyDescent="0.2">
      <c r="A133" s="50" t="str">
        <f>IF(ISBLANK(RECAPITULATIF!A142),"",RECAPITULATIF!A142)</f>
        <v/>
      </c>
      <c r="B133" s="50" t="str">
        <f>IF(ISBLANK(RECAPITULATIF!B142),"",RECAPITULATIF!B142)</f>
        <v/>
      </c>
      <c r="C133" s="50" t="str">
        <f>IF(ISBLANK(RECAPITULATIF!C142),"",RECAPITULATIF!C142)</f>
        <v/>
      </c>
      <c r="D133" s="69"/>
      <c r="E133" s="70"/>
      <c r="F133" s="69"/>
      <c r="G133" s="85"/>
      <c r="H133" s="70"/>
    </row>
    <row r="134" spans="1:8" x14ac:dyDescent="0.2">
      <c r="A134" s="50" t="str">
        <f>IF(ISBLANK(RECAPITULATIF!A143),"",RECAPITULATIF!A143)</f>
        <v/>
      </c>
      <c r="B134" s="50" t="str">
        <f>IF(ISBLANK(RECAPITULATIF!B143),"",RECAPITULATIF!B143)</f>
        <v/>
      </c>
      <c r="C134" s="50" t="str">
        <f>IF(ISBLANK(RECAPITULATIF!C143),"",RECAPITULATIF!C143)</f>
        <v/>
      </c>
      <c r="D134" s="69"/>
      <c r="E134" s="70"/>
      <c r="F134" s="69"/>
      <c r="G134" s="85"/>
      <c r="H134" s="70"/>
    </row>
    <row r="135" spans="1:8" x14ac:dyDescent="0.2">
      <c r="A135" s="50" t="str">
        <f>IF(ISBLANK(RECAPITULATIF!A144),"",RECAPITULATIF!A144)</f>
        <v/>
      </c>
      <c r="B135" s="50" t="str">
        <f>IF(ISBLANK(RECAPITULATIF!B144),"",RECAPITULATIF!B144)</f>
        <v/>
      </c>
      <c r="C135" s="50" t="str">
        <f>IF(ISBLANK(RECAPITULATIF!C144),"",RECAPITULATIF!C144)</f>
        <v/>
      </c>
      <c r="D135" s="69"/>
      <c r="E135" s="70"/>
      <c r="F135" s="69"/>
      <c r="G135" s="85"/>
      <c r="H135" s="70"/>
    </row>
    <row r="136" spans="1:8" x14ac:dyDescent="0.2">
      <c r="A136" s="50" t="str">
        <f>IF(ISBLANK(RECAPITULATIF!A145),"",RECAPITULATIF!A145)</f>
        <v/>
      </c>
      <c r="B136" s="50" t="str">
        <f>IF(ISBLANK(RECAPITULATIF!B145),"",RECAPITULATIF!B145)</f>
        <v/>
      </c>
      <c r="C136" s="50" t="str">
        <f>IF(ISBLANK(RECAPITULATIF!C145),"",RECAPITULATIF!C145)</f>
        <v/>
      </c>
      <c r="D136" s="69"/>
      <c r="E136" s="70"/>
      <c r="F136" s="69"/>
      <c r="G136" s="85"/>
      <c r="H136" s="70"/>
    </row>
    <row r="137" spans="1:8" x14ac:dyDescent="0.2">
      <c r="A137" s="50" t="str">
        <f>IF(ISBLANK(RECAPITULATIF!A146),"",RECAPITULATIF!A146)</f>
        <v/>
      </c>
      <c r="B137" s="50" t="str">
        <f>IF(ISBLANK(RECAPITULATIF!B146),"",RECAPITULATIF!B146)</f>
        <v/>
      </c>
      <c r="C137" s="50" t="str">
        <f>IF(ISBLANK(RECAPITULATIF!C146),"",RECAPITULATIF!C146)</f>
        <v/>
      </c>
      <c r="D137" s="69"/>
      <c r="E137" s="70"/>
      <c r="F137" s="69"/>
      <c r="G137" s="85"/>
      <c r="H137" s="70"/>
    </row>
    <row r="138" spans="1:8" x14ac:dyDescent="0.2">
      <c r="A138" s="50" t="str">
        <f>IF(ISBLANK(RECAPITULATIF!A147),"",RECAPITULATIF!A147)</f>
        <v/>
      </c>
      <c r="B138" s="50" t="str">
        <f>IF(ISBLANK(RECAPITULATIF!B147),"",RECAPITULATIF!B147)</f>
        <v/>
      </c>
      <c r="C138" s="50" t="str">
        <f>IF(ISBLANK(RECAPITULATIF!C147),"",RECAPITULATIF!C147)</f>
        <v/>
      </c>
      <c r="D138" s="69"/>
      <c r="E138" s="70"/>
      <c r="F138" s="69"/>
      <c r="G138" s="85"/>
      <c r="H138" s="70"/>
    </row>
    <row r="139" spans="1:8" x14ac:dyDescent="0.2">
      <c r="A139" s="50" t="str">
        <f>IF(ISBLANK(RECAPITULATIF!A148),"",RECAPITULATIF!A148)</f>
        <v/>
      </c>
      <c r="B139" s="50" t="str">
        <f>IF(ISBLANK(RECAPITULATIF!B148),"",RECAPITULATIF!B148)</f>
        <v/>
      </c>
      <c r="C139" s="50" t="str">
        <f>IF(ISBLANK(RECAPITULATIF!C148),"",RECAPITULATIF!C148)</f>
        <v/>
      </c>
      <c r="D139" s="69"/>
      <c r="E139" s="70"/>
      <c r="F139" s="69"/>
      <c r="G139" s="85"/>
      <c r="H139" s="70"/>
    </row>
    <row r="140" spans="1:8" x14ac:dyDescent="0.2">
      <c r="A140" s="50" t="str">
        <f>IF(ISBLANK(RECAPITULATIF!A149),"",RECAPITULATIF!A149)</f>
        <v/>
      </c>
      <c r="B140" s="50" t="str">
        <f>IF(ISBLANK(RECAPITULATIF!B149),"",RECAPITULATIF!B149)</f>
        <v/>
      </c>
      <c r="C140" s="50" t="str">
        <f>IF(ISBLANK(RECAPITULATIF!C149),"",RECAPITULATIF!C149)</f>
        <v/>
      </c>
      <c r="D140" s="69"/>
      <c r="E140" s="70"/>
      <c r="F140" s="69"/>
      <c r="G140" s="85"/>
      <c r="H140" s="70"/>
    </row>
    <row r="141" spans="1:8" x14ac:dyDescent="0.2">
      <c r="A141" s="50" t="str">
        <f>IF(ISBLANK(RECAPITULATIF!A150),"",RECAPITULATIF!A150)</f>
        <v/>
      </c>
      <c r="B141" s="50" t="str">
        <f>IF(ISBLANK(RECAPITULATIF!B150),"",RECAPITULATIF!B150)</f>
        <v/>
      </c>
      <c r="C141" s="50" t="str">
        <f>IF(ISBLANK(RECAPITULATIF!C150),"",RECAPITULATIF!C150)</f>
        <v/>
      </c>
      <c r="D141" s="69"/>
      <c r="E141" s="70"/>
      <c r="F141" s="69"/>
      <c r="G141" s="85"/>
      <c r="H141" s="70"/>
    </row>
    <row r="142" spans="1:8" x14ac:dyDescent="0.2">
      <c r="A142" s="50" t="str">
        <f>IF(ISBLANK(RECAPITULATIF!A151),"",RECAPITULATIF!A151)</f>
        <v/>
      </c>
      <c r="B142" s="50" t="str">
        <f>IF(ISBLANK(RECAPITULATIF!B151),"",RECAPITULATIF!B151)</f>
        <v/>
      </c>
      <c r="C142" s="50" t="str">
        <f>IF(ISBLANK(RECAPITULATIF!C151),"",RECAPITULATIF!C151)</f>
        <v/>
      </c>
      <c r="D142" s="69"/>
      <c r="E142" s="70"/>
      <c r="F142" s="69"/>
      <c r="G142" s="85"/>
      <c r="H142" s="70"/>
    </row>
    <row r="143" spans="1:8" x14ac:dyDescent="0.2">
      <c r="A143" s="50" t="str">
        <f>IF(ISBLANK(RECAPITULATIF!A152),"",RECAPITULATIF!A152)</f>
        <v/>
      </c>
      <c r="B143" s="50" t="str">
        <f>IF(ISBLANK(RECAPITULATIF!B152),"",RECAPITULATIF!B152)</f>
        <v/>
      </c>
      <c r="C143" s="50" t="str">
        <f>IF(ISBLANK(RECAPITULATIF!C152),"",RECAPITULATIF!C152)</f>
        <v/>
      </c>
      <c r="D143" s="69"/>
      <c r="E143" s="70"/>
      <c r="F143" s="69"/>
      <c r="G143" s="85"/>
      <c r="H143" s="70"/>
    </row>
    <row r="144" spans="1:8" x14ac:dyDescent="0.2">
      <c r="A144" s="50" t="str">
        <f>IF(ISBLANK(RECAPITULATIF!A153),"",RECAPITULATIF!A153)</f>
        <v/>
      </c>
      <c r="B144" s="50" t="str">
        <f>IF(ISBLANK(RECAPITULATIF!B153),"",RECAPITULATIF!B153)</f>
        <v/>
      </c>
      <c r="C144" s="50" t="str">
        <f>IF(ISBLANK(RECAPITULATIF!C153),"",RECAPITULATIF!C153)</f>
        <v/>
      </c>
      <c r="D144" s="69"/>
      <c r="E144" s="70"/>
      <c r="F144" s="69"/>
      <c r="G144" s="85"/>
      <c r="H144" s="70"/>
    </row>
    <row r="145" spans="1:8" x14ac:dyDescent="0.2">
      <c r="A145" s="50" t="str">
        <f>IF(ISBLANK(RECAPITULATIF!A154),"",RECAPITULATIF!A154)</f>
        <v/>
      </c>
      <c r="B145" s="50" t="str">
        <f>IF(ISBLANK(RECAPITULATIF!B154),"",RECAPITULATIF!B154)</f>
        <v/>
      </c>
      <c r="C145" s="50" t="str">
        <f>IF(ISBLANK(RECAPITULATIF!C154),"",RECAPITULATIF!C154)</f>
        <v/>
      </c>
      <c r="D145" s="69"/>
      <c r="E145" s="70"/>
      <c r="F145" s="69"/>
      <c r="G145" s="85"/>
      <c r="H145" s="70"/>
    </row>
    <row r="146" spans="1:8" x14ac:dyDescent="0.2">
      <c r="A146" s="50" t="str">
        <f>IF(ISBLANK(RECAPITULATIF!A155),"",RECAPITULATIF!A155)</f>
        <v/>
      </c>
      <c r="B146" s="50" t="str">
        <f>IF(ISBLANK(RECAPITULATIF!B155),"",RECAPITULATIF!B155)</f>
        <v/>
      </c>
      <c r="C146" s="50" t="str">
        <f>IF(ISBLANK(RECAPITULATIF!C155),"",RECAPITULATIF!C155)</f>
        <v/>
      </c>
      <c r="D146" s="69"/>
      <c r="E146" s="70"/>
      <c r="F146" s="69"/>
      <c r="G146" s="85"/>
      <c r="H146" s="70"/>
    </row>
    <row r="147" spans="1:8" x14ac:dyDescent="0.2">
      <c r="A147" s="50" t="str">
        <f>IF(ISBLANK(RECAPITULATIF!A156),"",RECAPITULATIF!A156)</f>
        <v/>
      </c>
      <c r="B147" s="50" t="str">
        <f>IF(ISBLANK(RECAPITULATIF!B156),"",RECAPITULATIF!B156)</f>
        <v/>
      </c>
      <c r="C147" s="50" t="str">
        <f>IF(ISBLANK(RECAPITULATIF!C156),"",RECAPITULATIF!C156)</f>
        <v/>
      </c>
      <c r="D147" s="69"/>
      <c r="E147" s="70"/>
      <c r="F147" s="69"/>
      <c r="G147" s="85"/>
      <c r="H147" s="70"/>
    </row>
    <row r="148" spans="1:8" x14ac:dyDescent="0.2">
      <c r="A148" s="50" t="str">
        <f>IF(ISBLANK(RECAPITULATIF!A157),"",RECAPITULATIF!A157)</f>
        <v/>
      </c>
      <c r="B148" s="50" t="str">
        <f>IF(ISBLANK(RECAPITULATIF!B157),"",RECAPITULATIF!B157)</f>
        <v/>
      </c>
      <c r="C148" s="50" t="str">
        <f>IF(ISBLANK(RECAPITULATIF!C157),"",RECAPITULATIF!C157)</f>
        <v/>
      </c>
      <c r="D148" s="69"/>
      <c r="E148" s="70"/>
      <c r="F148" s="69"/>
      <c r="G148" s="85"/>
      <c r="H148" s="70"/>
    </row>
    <row r="149" spans="1:8" x14ac:dyDescent="0.2">
      <c r="A149" s="50" t="str">
        <f>IF(ISBLANK(RECAPITULATIF!A158),"",RECAPITULATIF!A158)</f>
        <v/>
      </c>
      <c r="B149" s="50" t="str">
        <f>IF(ISBLANK(RECAPITULATIF!B158),"",RECAPITULATIF!B158)</f>
        <v/>
      </c>
      <c r="C149" s="50" t="str">
        <f>IF(ISBLANK(RECAPITULATIF!C158),"",RECAPITULATIF!C158)</f>
        <v/>
      </c>
      <c r="D149" s="69"/>
      <c r="E149" s="70"/>
      <c r="F149" s="69"/>
      <c r="G149" s="85"/>
      <c r="H149" s="70"/>
    </row>
    <row r="150" spans="1:8" x14ac:dyDescent="0.2">
      <c r="A150" s="50" t="str">
        <f>IF(ISBLANK(RECAPITULATIF!A159),"",RECAPITULATIF!A159)</f>
        <v/>
      </c>
      <c r="B150" s="50" t="str">
        <f>IF(ISBLANK(RECAPITULATIF!B159),"",RECAPITULATIF!B159)</f>
        <v/>
      </c>
      <c r="C150" s="50" t="str">
        <f>IF(ISBLANK(RECAPITULATIF!C159),"",RECAPITULATIF!C159)</f>
        <v/>
      </c>
      <c r="D150" s="69"/>
      <c r="E150" s="70"/>
      <c r="F150" s="69"/>
      <c r="G150" s="85"/>
      <c r="H150" s="70"/>
    </row>
    <row r="151" spans="1:8" x14ac:dyDescent="0.2">
      <c r="A151" s="50" t="str">
        <f>IF(ISBLANK(RECAPITULATIF!A160),"",RECAPITULATIF!A160)</f>
        <v/>
      </c>
      <c r="B151" s="50" t="str">
        <f>IF(ISBLANK(RECAPITULATIF!B160),"",RECAPITULATIF!B160)</f>
        <v/>
      </c>
      <c r="C151" s="50" t="str">
        <f>IF(ISBLANK(RECAPITULATIF!C160),"",RECAPITULATIF!C160)</f>
        <v/>
      </c>
      <c r="D151" s="69"/>
      <c r="E151" s="70"/>
      <c r="F151" s="69"/>
      <c r="G151" s="85"/>
      <c r="H151" s="70"/>
    </row>
    <row r="152" spans="1:8" x14ac:dyDescent="0.2">
      <c r="A152" s="50" t="str">
        <f>IF(ISBLANK(RECAPITULATIF!A161),"",RECAPITULATIF!A161)</f>
        <v/>
      </c>
      <c r="B152" s="50" t="str">
        <f>IF(ISBLANK(RECAPITULATIF!B161),"",RECAPITULATIF!B161)</f>
        <v/>
      </c>
      <c r="C152" s="50" t="str">
        <f>IF(ISBLANK(RECAPITULATIF!C161),"",RECAPITULATIF!C161)</f>
        <v/>
      </c>
      <c r="D152" s="69"/>
      <c r="E152" s="70"/>
      <c r="F152" s="69"/>
      <c r="G152" s="85"/>
      <c r="H152" s="70"/>
    </row>
    <row r="153" spans="1:8" x14ac:dyDescent="0.2">
      <c r="A153" s="50" t="str">
        <f>IF(ISBLANK(RECAPITULATIF!A162),"",RECAPITULATIF!A162)</f>
        <v/>
      </c>
      <c r="B153" s="50" t="str">
        <f>IF(ISBLANK(RECAPITULATIF!B162),"",RECAPITULATIF!B162)</f>
        <v/>
      </c>
      <c r="C153" s="50" t="str">
        <f>IF(ISBLANK(RECAPITULATIF!C162),"",RECAPITULATIF!C162)</f>
        <v/>
      </c>
      <c r="D153" s="69"/>
      <c r="E153" s="70"/>
      <c r="F153" s="69"/>
      <c r="G153" s="85"/>
      <c r="H153" s="70"/>
    </row>
    <row r="154" spans="1:8" x14ac:dyDescent="0.2">
      <c r="A154" s="50" t="str">
        <f>IF(ISBLANK(RECAPITULATIF!A163),"",RECAPITULATIF!A163)</f>
        <v/>
      </c>
      <c r="B154" s="50" t="str">
        <f>IF(ISBLANK(RECAPITULATIF!B163),"",RECAPITULATIF!B163)</f>
        <v/>
      </c>
      <c r="C154" s="50" t="str">
        <f>IF(ISBLANK(RECAPITULATIF!C163),"",RECAPITULATIF!C163)</f>
        <v/>
      </c>
      <c r="D154" s="69"/>
      <c r="E154" s="70"/>
      <c r="F154" s="69"/>
      <c r="G154" s="85"/>
      <c r="H154" s="70"/>
    </row>
    <row r="155" spans="1:8" x14ac:dyDescent="0.2">
      <c r="A155" s="50" t="str">
        <f>IF(ISBLANK(RECAPITULATIF!A164),"",RECAPITULATIF!A164)</f>
        <v/>
      </c>
      <c r="B155" s="50" t="str">
        <f>IF(ISBLANK(RECAPITULATIF!B164),"",RECAPITULATIF!B164)</f>
        <v/>
      </c>
      <c r="C155" s="50" t="str">
        <f>IF(ISBLANK(RECAPITULATIF!C164),"",RECAPITULATIF!C164)</f>
        <v/>
      </c>
      <c r="D155" s="69"/>
      <c r="E155" s="70"/>
      <c r="F155" s="69"/>
      <c r="G155" s="85"/>
      <c r="H155" s="70"/>
    </row>
    <row r="156" spans="1:8" x14ac:dyDescent="0.2">
      <c r="A156" s="50" t="str">
        <f>IF(ISBLANK(RECAPITULATIF!A165),"",RECAPITULATIF!A165)</f>
        <v/>
      </c>
      <c r="B156" s="50" t="str">
        <f>IF(ISBLANK(RECAPITULATIF!B165),"",RECAPITULATIF!B165)</f>
        <v/>
      </c>
      <c r="C156" s="50" t="str">
        <f>IF(ISBLANK(RECAPITULATIF!C165),"",RECAPITULATIF!C165)</f>
        <v/>
      </c>
      <c r="D156" s="69"/>
      <c r="E156" s="70"/>
      <c r="F156" s="69"/>
      <c r="G156" s="85"/>
      <c r="H156" s="70"/>
    </row>
    <row r="157" spans="1:8" x14ac:dyDescent="0.2">
      <c r="A157" s="50" t="str">
        <f>IF(ISBLANK(RECAPITULATIF!A166),"",RECAPITULATIF!A166)</f>
        <v/>
      </c>
      <c r="B157" s="50" t="str">
        <f>IF(ISBLANK(RECAPITULATIF!B166),"",RECAPITULATIF!B166)</f>
        <v/>
      </c>
      <c r="C157" s="50" t="str">
        <f>IF(ISBLANK(RECAPITULATIF!C166),"",RECAPITULATIF!C166)</f>
        <v/>
      </c>
      <c r="D157" s="69"/>
      <c r="E157" s="70"/>
      <c r="F157" s="69"/>
      <c r="G157" s="85"/>
      <c r="H157" s="70"/>
    </row>
    <row r="158" spans="1:8" x14ac:dyDescent="0.2">
      <c r="A158" s="50" t="str">
        <f>IF(ISBLANK(RECAPITULATIF!A167),"",RECAPITULATIF!A167)</f>
        <v/>
      </c>
      <c r="B158" s="50" t="str">
        <f>IF(ISBLANK(RECAPITULATIF!B167),"",RECAPITULATIF!B167)</f>
        <v/>
      </c>
      <c r="C158" s="50" t="str">
        <f>IF(ISBLANK(RECAPITULATIF!C167),"",RECAPITULATIF!C167)</f>
        <v/>
      </c>
      <c r="D158" s="69"/>
      <c r="E158" s="70"/>
      <c r="F158" s="69"/>
      <c r="G158" s="85"/>
      <c r="H158" s="70"/>
    </row>
    <row r="159" spans="1:8" x14ac:dyDescent="0.2">
      <c r="A159" s="50" t="str">
        <f>IF(ISBLANK(RECAPITULATIF!A168),"",RECAPITULATIF!A168)</f>
        <v/>
      </c>
      <c r="B159" s="50" t="str">
        <f>IF(ISBLANK(RECAPITULATIF!B168),"",RECAPITULATIF!B168)</f>
        <v/>
      </c>
      <c r="C159" s="50" t="str">
        <f>IF(ISBLANK(RECAPITULATIF!C168),"",RECAPITULATIF!C168)</f>
        <v/>
      </c>
      <c r="D159" s="69"/>
      <c r="E159" s="70"/>
      <c r="F159" s="69"/>
      <c r="G159" s="85"/>
      <c r="H159" s="70"/>
    </row>
    <row r="160" spans="1:8" x14ac:dyDescent="0.2">
      <c r="A160" s="50" t="str">
        <f>IF(ISBLANK(RECAPITULATIF!A169),"",RECAPITULATIF!A169)</f>
        <v/>
      </c>
      <c r="B160" s="50" t="str">
        <f>IF(ISBLANK(RECAPITULATIF!B169),"",RECAPITULATIF!B169)</f>
        <v/>
      </c>
      <c r="C160" s="50" t="str">
        <f>IF(ISBLANK(RECAPITULATIF!C169),"",RECAPITULATIF!C169)</f>
        <v/>
      </c>
      <c r="D160" s="69"/>
      <c r="E160" s="70"/>
      <c r="F160" s="69"/>
      <c r="G160" s="85"/>
      <c r="H160" s="70"/>
    </row>
    <row r="161" spans="1:8" x14ac:dyDescent="0.2">
      <c r="A161" s="50" t="str">
        <f>IF(ISBLANK(RECAPITULATIF!A170),"",RECAPITULATIF!A170)</f>
        <v/>
      </c>
      <c r="B161" s="50" t="str">
        <f>IF(ISBLANK(RECAPITULATIF!B170),"",RECAPITULATIF!B170)</f>
        <v/>
      </c>
      <c r="C161" s="50" t="str">
        <f>IF(ISBLANK(RECAPITULATIF!C170),"",RECAPITULATIF!C170)</f>
        <v/>
      </c>
      <c r="D161" s="69"/>
      <c r="E161" s="70"/>
      <c r="F161" s="69"/>
      <c r="G161" s="85"/>
      <c r="H161" s="70"/>
    </row>
    <row r="162" spans="1:8" x14ac:dyDescent="0.2">
      <c r="A162" s="50" t="str">
        <f>IF(ISBLANK(RECAPITULATIF!A171),"",RECAPITULATIF!A171)</f>
        <v/>
      </c>
      <c r="B162" s="50" t="str">
        <f>IF(ISBLANK(RECAPITULATIF!B171),"",RECAPITULATIF!B171)</f>
        <v/>
      </c>
      <c r="C162" s="50" t="str">
        <f>IF(ISBLANK(RECAPITULATIF!C171),"",RECAPITULATIF!C171)</f>
        <v/>
      </c>
      <c r="D162" s="69"/>
      <c r="E162" s="70"/>
      <c r="F162" s="69"/>
      <c r="G162" s="85"/>
      <c r="H162" s="70"/>
    </row>
    <row r="163" spans="1:8" x14ac:dyDescent="0.2">
      <c r="A163" s="50" t="str">
        <f>IF(ISBLANK(RECAPITULATIF!A172),"",RECAPITULATIF!A172)</f>
        <v/>
      </c>
      <c r="B163" s="50" t="str">
        <f>IF(ISBLANK(RECAPITULATIF!B172),"",RECAPITULATIF!B172)</f>
        <v/>
      </c>
      <c r="C163" s="50" t="str">
        <f>IF(ISBLANK(RECAPITULATIF!C172),"",RECAPITULATIF!C172)</f>
        <v/>
      </c>
      <c r="D163" s="69"/>
      <c r="E163" s="70"/>
      <c r="F163" s="69"/>
      <c r="G163" s="85"/>
      <c r="H163" s="70"/>
    </row>
    <row r="164" spans="1:8" x14ac:dyDescent="0.2">
      <c r="A164" s="50" t="str">
        <f>IF(ISBLANK(RECAPITULATIF!A173),"",RECAPITULATIF!A173)</f>
        <v/>
      </c>
      <c r="B164" s="50" t="str">
        <f>IF(ISBLANK(RECAPITULATIF!B173),"",RECAPITULATIF!B173)</f>
        <v/>
      </c>
      <c r="C164" s="50" t="str">
        <f>IF(ISBLANK(RECAPITULATIF!C173),"",RECAPITULATIF!C173)</f>
        <v/>
      </c>
      <c r="D164" s="69"/>
      <c r="E164" s="70"/>
      <c r="F164" s="69"/>
      <c r="G164" s="85"/>
      <c r="H164" s="70"/>
    </row>
    <row r="165" spans="1:8" x14ac:dyDescent="0.2">
      <c r="A165" s="50" t="str">
        <f>IF(ISBLANK(RECAPITULATIF!A174),"",RECAPITULATIF!A174)</f>
        <v/>
      </c>
      <c r="B165" s="50" t="str">
        <f>IF(ISBLANK(RECAPITULATIF!B174),"",RECAPITULATIF!B174)</f>
        <v/>
      </c>
      <c r="C165" s="50" t="str">
        <f>IF(ISBLANK(RECAPITULATIF!C174),"",RECAPITULATIF!C174)</f>
        <v/>
      </c>
      <c r="D165" s="69"/>
      <c r="E165" s="70"/>
      <c r="F165" s="69"/>
      <c r="G165" s="85"/>
      <c r="H165" s="70"/>
    </row>
    <row r="166" spans="1:8" x14ac:dyDescent="0.2">
      <c r="A166" s="50" t="str">
        <f>IF(ISBLANK(RECAPITULATIF!A175),"",RECAPITULATIF!A175)</f>
        <v/>
      </c>
      <c r="B166" s="50" t="str">
        <f>IF(ISBLANK(RECAPITULATIF!B175),"",RECAPITULATIF!B175)</f>
        <v/>
      </c>
      <c r="C166" s="50" t="str">
        <f>IF(ISBLANK(RECAPITULATIF!C175),"",RECAPITULATIF!C175)</f>
        <v/>
      </c>
      <c r="D166" s="69"/>
      <c r="E166" s="70"/>
      <c r="F166" s="69"/>
      <c r="G166" s="85"/>
      <c r="H166" s="70"/>
    </row>
    <row r="167" spans="1:8" x14ac:dyDescent="0.2">
      <c r="A167" s="50" t="str">
        <f>IF(ISBLANK(RECAPITULATIF!A176),"",RECAPITULATIF!A176)</f>
        <v/>
      </c>
      <c r="B167" s="50" t="str">
        <f>IF(ISBLANK(RECAPITULATIF!B176),"",RECAPITULATIF!B176)</f>
        <v/>
      </c>
      <c r="C167" s="50" t="str">
        <f>IF(ISBLANK(RECAPITULATIF!C176),"",RECAPITULATIF!C176)</f>
        <v/>
      </c>
      <c r="D167" s="69"/>
      <c r="E167" s="70"/>
      <c r="F167" s="69"/>
      <c r="G167" s="85"/>
      <c r="H167" s="70"/>
    </row>
    <row r="168" spans="1:8" x14ac:dyDescent="0.2">
      <c r="A168" s="50" t="str">
        <f>IF(ISBLANK(RECAPITULATIF!A177),"",RECAPITULATIF!A177)</f>
        <v/>
      </c>
      <c r="B168" s="50" t="str">
        <f>IF(ISBLANK(RECAPITULATIF!B177),"",RECAPITULATIF!B177)</f>
        <v/>
      </c>
      <c r="C168" s="50" t="str">
        <f>IF(ISBLANK(RECAPITULATIF!C177),"",RECAPITULATIF!C177)</f>
        <v/>
      </c>
      <c r="D168" s="69"/>
      <c r="E168" s="70"/>
      <c r="F168" s="69"/>
      <c r="G168" s="85"/>
      <c r="H168" s="70"/>
    </row>
    <row r="169" spans="1:8" x14ac:dyDescent="0.2">
      <c r="A169" s="50" t="str">
        <f>IF(ISBLANK(RECAPITULATIF!A178),"",RECAPITULATIF!A178)</f>
        <v/>
      </c>
      <c r="B169" s="50" t="str">
        <f>IF(ISBLANK(RECAPITULATIF!B178),"",RECAPITULATIF!B178)</f>
        <v/>
      </c>
      <c r="C169" s="50" t="str">
        <f>IF(ISBLANK(RECAPITULATIF!C178),"",RECAPITULATIF!C178)</f>
        <v/>
      </c>
      <c r="D169" s="69"/>
      <c r="E169" s="70"/>
      <c r="F169" s="69"/>
      <c r="G169" s="85"/>
      <c r="H169" s="70"/>
    </row>
    <row r="170" spans="1:8" x14ac:dyDescent="0.2">
      <c r="A170" s="50" t="str">
        <f>IF(ISBLANK(RECAPITULATIF!A179),"",RECAPITULATIF!A179)</f>
        <v/>
      </c>
      <c r="B170" s="50" t="str">
        <f>IF(ISBLANK(RECAPITULATIF!B179),"",RECAPITULATIF!B179)</f>
        <v/>
      </c>
      <c r="C170" s="50" t="str">
        <f>IF(ISBLANK(RECAPITULATIF!C179),"",RECAPITULATIF!C179)</f>
        <v/>
      </c>
      <c r="D170" s="69"/>
      <c r="E170" s="70"/>
      <c r="F170" s="69"/>
      <c r="G170" s="85"/>
      <c r="H170" s="70"/>
    </row>
    <row r="171" spans="1:8" x14ac:dyDescent="0.2">
      <c r="A171" s="50" t="str">
        <f>IF(ISBLANK(RECAPITULATIF!A180),"",RECAPITULATIF!A180)</f>
        <v/>
      </c>
      <c r="B171" s="50" t="str">
        <f>IF(ISBLANK(RECAPITULATIF!B180),"",RECAPITULATIF!B180)</f>
        <v/>
      </c>
      <c r="C171" s="50" t="str">
        <f>IF(ISBLANK(RECAPITULATIF!C180),"",RECAPITULATIF!C180)</f>
        <v/>
      </c>
      <c r="D171" s="69"/>
      <c r="E171" s="70"/>
      <c r="F171" s="69"/>
      <c r="G171" s="85"/>
      <c r="H171" s="70"/>
    </row>
    <row r="172" spans="1:8" x14ac:dyDescent="0.2">
      <c r="A172" s="50" t="str">
        <f>IF(ISBLANK(RECAPITULATIF!A181),"",RECAPITULATIF!A181)</f>
        <v/>
      </c>
      <c r="B172" s="50" t="str">
        <f>IF(ISBLANK(RECAPITULATIF!B181),"",RECAPITULATIF!B181)</f>
        <v/>
      </c>
      <c r="C172" s="50" t="str">
        <f>IF(ISBLANK(RECAPITULATIF!C181),"",RECAPITULATIF!C181)</f>
        <v/>
      </c>
      <c r="D172" s="69"/>
      <c r="E172" s="70"/>
      <c r="F172" s="69"/>
      <c r="G172" s="85"/>
      <c r="H172" s="70"/>
    </row>
    <row r="173" spans="1:8" x14ac:dyDescent="0.2">
      <c r="A173" s="50" t="str">
        <f>IF(ISBLANK(RECAPITULATIF!A182),"",RECAPITULATIF!A182)</f>
        <v/>
      </c>
      <c r="B173" s="50" t="str">
        <f>IF(ISBLANK(RECAPITULATIF!B182),"",RECAPITULATIF!B182)</f>
        <v/>
      </c>
      <c r="C173" s="50" t="str">
        <f>IF(ISBLANK(RECAPITULATIF!C182),"",RECAPITULATIF!C182)</f>
        <v/>
      </c>
      <c r="D173" s="69"/>
      <c r="E173" s="70"/>
      <c r="F173" s="69"/>
      <c r="G173" s="85"/>
      <c r="H173" s="70"/>
    </row>
    <row r="174" spans="1:8" x14ac:dyDescent="0.2">
      <c r="A174" s="50" t="str">
        <f>IF(ISBLANK(RECAPITULATIF!A183),"",RECAPITULATIF!A183)</f>
        <v/>
      </c>
      <c r="B174" s="50" t="str">
        <f>IF(ISBLANK(RECAPITULATIF!B183),"",RECAPITULATIF!B183)</f>
        <v/>
      </c>
      <c r="C174" s="50" t="str">
        <f>IF(ISBLANK(RECAPITULATIF!C183),"",RECAPITULATIF!C183)</f>
        <v/>
      </c>
      <c r="D174" s="69"/>
      <c r="E174" s="70"/>
      <c r="F174" s="69"/>
      <c r="G174" s="85"/>
      <c r="H174" s="70"/>
    </row>
    <row r="175" spans="1:8" x14ac:dyDescent="0.2">
      <c r="A175" s="50" t="str">
        <f>IF(ISBLANK(RECAPITULATIF!A184),"",RECAPITULATIF!A184)</f>
        <v/>
      </c>
      <c r="B175" s="50" t="str">
        <f>IF(ISBLANK(RECAPITULATIF!B184),"",RECAPITULATIF!B184)</f>
        <v/>
      </c>
      <c r="C175" s="50" t="str">
        <f>IF(ISBLANK(RECAPITULATIF!C184),"",RECAPITULATIF!C184)</f>
        <v/>
      </c>
      <c r="D175" s="69"/>
      <c r="E175" s="70"/>
      <c r="F175" s="69"/>
      <c r="G175" s="85"/>
      <c r="H175" s="70"/>
    </row>
    <row r="176" spans="1:8" x14ac:dyDescent="0.2">
      <c r="A176" s="50" t="str">
        <f>IF(ISBLANK(RECAPITULATIF!A185),"",RECAPITULATIF!A185)</f>
        <v/>
      </c>
      <c r="B176" s="50" t="str">
        <f>IF(ISBLANK(RECAPITULATIF!B185),"",RECAPITULATIF!B185)</f>
        <v/>
      </c>
      <c r="C176" s="50" t="str">
        <f>IF(ISBLANK(RECAPITULATIF!C185),"",RECAPITULATIF!C185)</f>
        <v/>
      </c>
      <c r="D176" s="69"/>
      <c r="E176" s="70"/>
      <c r="F176" s="69"/>
      <c r="G176" s="85"/>
      <c r="H176" s="70"/>
    </row>
    <row r="177" spans="1:8" x14ac:dyDescent="0.2">
      <c r="A177" s="50" t="str">
        <f>IF(ISBLANK(RECAPITULATIF!A186),"",RECAPITULATIF!A186)</f>
        <v/>
      </c>
      <c r="B177" s="50" t="str">
        <f>IF(ISBLANK(RECAPITULATIF!B186),"",RECAPITULATIF!B186)</f>
        <v/>
      </c>
      <c r="C177" s="50" t="str">
        <f>IF(ISBLANK(RECAPITULATIF!C186),"",RECAPITULATIF!C186)</f>
        <v/>
      </c>
      <c r="D177" s="69"/>
      <c r="E177" s="70"/>
      <c r="F177" s="69"/>
      <c r="G177" s="85"/>
      <c r="H177" s="70"/>
    </row>
    <row r="178" spans="1:8" x14ac:dyDescent="0.2">
      <c r="A178" s="50" t="str">
        <f>IF(ISBLANK(RECAPITULATIF!A187),"",RECAPITULATIF!A187)</f>
        <v/>
      </c>
      <c r="B178" s="50" t="str">
        <f>IF(ISBLANK(RECAPITULATIF!B187),"",RECAPITULATIF!B187)</f>
        <v/>
      </c>
      <c r="C178" s="50" t="str">
        <f>IF(ISBLANK(RECAPITULATIF!C187),"",RECAPITULATIF!C187)</f>
        <v/>
      </c>
      <c r="D178" s="69"/>
      <c r="E178" s="70"/>
      <c r="F178" s="69"/>
      <c r="G178" s="85"/>
      <c r="H178" s="70"/>
    </row>
    <row r="179" spans="1:8" x14ac:dyDescent="0.2">
      <c r="A179" s="50" t="str">
        <f>IF(ISBLANK(RECAPITULATIF!A188),"",RECAPITULATIF!A188)</f>
        <v/>
      </c>
      <c r="B179" s="50" t="str">
        <f>IF(ISBLANK(RECAPITULATIF!B188),"",RECAPITULATIF!B188)</f>
        <v/>
      </c>
      <c r="C179" s="50" t="str">
        <f>IF(ISBLANK(RECAPITULATIF!C188),"",RECAPITULATIF!C188)</f>
        <v/>
      </c>
      <c r="D179" s="69"/>
      <c r="E179" s="70"/>
      <c r="F179" s="69"/>
      <c r="G179" s="85"/>
      <c r="H179" s="70"/>
    </row>
    <row r="180" spans="1:8" x14ac:dyDescent="0.2">
      <c r="A180" s="50" t="str">
        <f>IF(ISBLANK(RECAPITULATIF!A189),"",RECAPITULATIF!A189)</f>
        <v/>
      </c>
      <c r="B180" s="50" t="str">
        <f>IF(ISBLANK(RECAPITULATIF!B189),"",RECAPITULATIF!B189)</f>
        <v/>
      </c>
      <c r="C180" s="50" t="str">
        <f>IF(ISBLANK(RECAPITULATIF!C189),"",RECAPITULATIF!C189)</f>
        <v/>
      </c>
      <c r="D180" s="69"/>
      <c r="E180" s="70"/>
      <c r="F180" s="69"/>
      <c r="G180" s="85"/>
      <c r="H180" s="70"/>
    </row>
    <row r="181" spans="1:8" x14ac:dyDescent="0.2">
      <c r="A181" s="50" t="str">
        <f>IF(ISBLANK(RECAPITULATIF!A190),"",RECAPITULATIF!A190)</f>
        <v/>
      </c>
      <c r="B181" s="50" t="str">
        <f>IF(ISBLANK(RECAPITULATIF!B190),"",RECAPITULATIF!B190)</f>
        <v/>
      </c>
      <c r="C181" s="50" t="str">
        <f>IF(ISBLANK(RECAPITULATIF!C190),"",RECAPITULATIF!C190)</f>
        <v/>
      </c>
      <c r="D181" s="69"/>
      <c r="E181" s="70"/>
      <c r="F181" s="69"/>
      <c r="G181" s="85"/>
      <c r="H181" s="70"/>
    </row>
    <row r="182" spans="1:8" x14ac:dyDescent="0.2">
      <c r="A182" s="50" t="str">
        <f>IF(ISBLANK(RECAPITULATIF!A191),"",RECAPITULATIF!A191)</f>
        <v/>
      </c>
      <c r="B182" s="50" t="str">
        <f>IF(ISBLANK(RECAPITULATIF!B191),"",RECAPITULATIF!B191)</f>
        <v/>
      </c>
      <c r="C182" s="50" t="str">
        <f>IF(ISBLANK(RECAPITULATIF!C191),"",RECAPITULATIF!C191)</f>
        <v/>
      </c>
      <c r="D182" s="69"/>
      <c r="E182" s="70"/>
      <c r="F182" s="69"/>
      <c r="G182" s="85"/>
      <c r="H182" s="70"/>
    </row>
    <row r="183" spans="1:8" x14ac:dyDescent="0.2">
      <c r="A183" s="50" t="str">
        <f>IF(ISBLANK(RECAPITULATIF!A192),"",RECAPITULATIF!A192)</f>
        <v/>
      </c>
      <c r="B183" s="50" t="str">
        <f>IF(ISBLANK(RECAPITULATIF!B192),"",RECAPITULATIF!B192)</f>
        <v/>
      </c>
      <c r="C183" s="50" t="str">
        <f>IF(ISBLANK(RECAPITULATIF!C192),"",RECAPITULATIF!C192)</f>
        <v/>
      </c>
      <c r="D183" s="69"/>
      <c r="E183" s="70"/>
      <c r="F183" s="69"/>
      <c r="G183" s="85"/>
      <c r="H183" s="70"/>
    </row>
    <row r="184" spans="1:8" x14ac:dyDescent="0.2">
      <c r="A184" s="50" t="str">
        <f>IF(ISBLANK(RECAPITULATIF!A193),"",RECAPITULATIF!A193)</f>
        <v/>
      </c>
      <c r="B184" s="50" t="str">
        <f>IF(ISBLANK(RECAPITULATIF!B193),"",RECAPITULATIF!B193)</f>
        <v/>
      </c>
      <c r="C184" s="50" t="str">
        <f>IF(ISBLANK(RECAPITULATIF!C193),"",RECAPITULATIF!C193)</f>
        <v/>
      </c>
      <c r="D184" s="69"/>
      <c r="E184" s="70"/>
      <c r="F184" s="69"/>
      <c r="G184" s="85"/>
      <c r="H184" s="70"/>
    </row>
    <row r="185" spans="1:8" x14ac:dyDescent="0.2">
      <c r="A185" s="50" t="str">
        <f>IF(ISBLANK(RECAPITULATIF!A194),"",RECAPITULATIF!A194)</f>
        <v/>
      </c>
      <c r="B185" s="50" t="str">
        <f>IF(ISBLANK(RECAPITULATIF!B194),"",RECAPITULATIF!B194)</f>
        <v/>
      </c>
      <c r="C185" s="50" t="str">
        <f>IF(ISBLANK(RECAPITULATIF!C194),"",RECAPITULATIF!C194)</f>
        <v/>
      </c>
      <c r="D185" s="69"/>
      <c r="E185" s="70"/>
      <c r="F185" s="69"/>
      <c r="G185" s="85"/>
      <c r="H185" s="70"/>
    </row>
    <row r="186" spans="1:8" x14ac:dyDescent="0.2">
      <c r="A186" s="50" t="str">
        <f>IF(ISBLANK(RECAPITULATIF!A195),"",RECAPITULATIF!A195)</f>
        <v/>
      </c>
      <c r="B186" s="50" t="str">
        <f>IF(ISBLANK(RECAPITULATIF!B195),"",RECAPITULATIF!B195)</f>
        <v/>
      </c>
      <c r="C186" s="50" t="str">
        <f>IF(ISBLANK(RECAPITULATIF!C195),"",RECAPITULATIF!C195)</f>
        <v/>
      </c>
      <c r="D186" s="69"/>
      <c r="E186" s="70"/>
      <c r="F186" s="69"/>
      <c r="G186" s="85"/>
      <c r="H186" s="70"/>
    </row>
    <row r="187" spans="1:8" x14ac:dyDescent="0.2">
      <c r="A187" s="50" t="str">
        <f>IF(ISBLANK(RECAPITULATIF!A196),"",RECAPITULATIF!A196)</f>
        <v/>
      </c>
      <c r="B187" s="50" t="str">
        <f>IF(ISBLANK(RECAPITULATIF!B196),"",RECAPITULATIF!B196)</f>
        <v/>
      </c>
      <c r="C187" s="50" t="str">
        <f>IF(ISBLANK(RECAPITULATIF!C196),"",RECAPITULATIF!C196)</f>
        <v/>
      </c>
      <c r="D187" s="69"/>
      <c r="E187" s="70"/>
      <c r="F187" s="69"/>
      <c r="G187" s="85"/>
      <c r="H187" s="70"/>
    </row>
    <row r="188" spans="1:8" x14ac:dyDescent="0.2">
      <c r="A188" s="50" t="str">
        <f>IF(ISBLANK(RECAPITULATIF!A197),"",RECAPITULATIF!A197)</f>
        <v/>
      </c>
      <c r="B188" s="50" t="str">
        <f>IF(ISBLANK(RECAPITULATIF!B197),"",RECAPITULATIF!B197)</f>
        <v/>
      </c>
      <c r="C188" s="50" t="str">
        <f>IF(ISBLANK(RECAPITULATIF!C197),"",RECAPITULATIF!C197)</f>
        <v/>
      </c>
      <c r="D188" s="69"/>
      <c r="E188" s="70"/>
      <c r="F188" s="69"/>
      <c r="G188" s="85"/>
      <c r="H188" s="70"/>
    </row>
    <row r="189" spans="1:8" x14ac:dyDescent="0.2">
      <c r="A189" s="50" t="str">
        <f>IF(ISBLANK(RECAPITULATIF!A198),"",RECAPITULATIF!A198)</f>
        <v/>
      </c>
      <c r="B189" s="50" t="str">
        <f>IF(ISBLANK(RECAPITULATIF!B198),"",RECAPITULATIF!B198)</f>
        <v/>
      </c>
      <c r="C189" s="50" t="str">
        <f>IF(ISBLANK(RECAPITULATIF!C198),"",RECAPITULATIF!C198)</f>
        <v/>
      </c>
      <c r="D189" s="69"/>
      <c r="E189" s="70"/>
      <c r="F189" s="69"/>
      <c r="G189" s="85"/>
      <c r="H189" s="70"/>
    </row>
    <row r="190" spans="1:8" x14ac:dyDescent="0.2">
      <c r="A190" s="50" t="str">
        <f>IF(ISBLANK(RECAPITULATIF!A199),"",RECAPITULATIF!A199)</f>
        <v/>
      </c>
      <c r="B190" s="50" t="str">
        <f>IF(ISBLANK(RECAPITULATIF!B199),"",RECAPITULATIF!B199)</f>
        <v/>
      </c>
      <c r="C190" s="50" t="str">
        <f>IF(ISBLANK(RECAPITULATIF!C199),"",RECAPITULATIF!C199)</f>
        <v/>
      </c>
      <c r="D190" s="69"/>
      <c r="E190" s="70"/>
      <c r="F190" s="69"/>
      <c r="G190" s="85"/>
      <c r="H190" s="70"/>
    </row>
    <row r="191" spans="1:8" x14ac:dyDescent="0.2">
      <c r="A191" s="50" t="str">
        <f>IF(ISBLANK(RECAPITULATIF!A200),"",RECAPITULATIF!A200)</f>
        <v/>
      </c>
      <c r="B191" s="50" t="str">
        <f>IF(ISBLANK(RECAPITULATIF!B200),"",RECAPITULATIF!B200)</f>
        <v/>
      </c>
      <c r="C191" s="50" t="str">
        <f>IF(ISBLANK(RECAPITULATIF!C200),"",RECAPITULATIF!C200)</f>
        <v/>
      </c>
      <c r="D191" s="69"/>
      <c r="E191" s="70"/>
      <c r="F191" s="69"/>
      <c r="G191" s="85"/>
      <c r="H191" s="70"/>
    </row>
    <row r="192" spans="1:8" x14ac:dyDescent="0.2">
      <c r="A192" s="50" t="str">
        <f>IF(ISBLANK(RECAPITULATIF!A201),"",RECAPITULATIF!A201)</f>
        <v/>
      </c>
      <c r="B192" s="50" t="str">
        <f>IF(ISBLANK(RECAPITULATIF!B201),"",RECAPITULATIF!B201)</f>
        <v/>
      </c>
      <c r="C192" s="50" t="str">
        <f>IF(ISBLANK(RECAPITULATIF!C201),"",RECAPITULATIF!C201)</f>
        <v/>
      </c>
      <c r="D192" s="69"/>
      <c r="E192" s="70"/>
      <c r="F192" s="69"/>
      <c r="G192" s="85"/>
      <c r="H192" s="70"/>
    </row>
    <row r="193" spans="1:8" x14ac:dyDescent="0.2">
      <c r="A193" s="50" t="str">
        <f>IF(ISBLANK(RECAPITULATIF!A202),"",RECAPITULATIF!A202)</f>
        <v/>
      </c>
      <c r="B193" s="50" t="str">
        <f>IF(ISBLANK(RECAPITULATIF!B202),"",RECAPITULATIF!B202)</f>
        <v/>
      </c>
      <c r="C193" s="50" t="str">
        <f>IF(ISBLANK(RECAPITULATIF!C202),"",RECAPITULATIF!C202)</f>
        <v/>
      </c>
      <c r="D193" s="69"/>
      <c r="E193" s="70"/>
      <c r="F193" s="69"/>
      <c r="G193" s="85"/>
      <c r="H193" s="70"/>
    </row>
    <row r="194" spans="1:8" x14ac:dyDescent="0.2">
      <c r="A194" s="50" t="str">
        <f>IF(ISBLANK(RECAPITULATIF!A203),"",RECAPITULATIF!A203)</f>
        <v/>
      </c>
      <c r="B194" s="50" t="str">
        <f>IF(ISBLANK(RECAPITULATIF!B203),"",RECAPITULATIF!B203)</f>
        <v/>
      </c>
      <c r="C194" s="50" t="str">
        <f>IF(ISBLANK(RECAPITULATIF!C203),"",RECAPITULATIF!C203)</f>
        <v/>
      </c>
      <c r="D194" s="69"/>
      <c r="E194" s="70"/>
      <c r="F194" s="69"/>
      <c r="G194" s="85"/>
      <c r="H194" s="70"/>
    </row>
    <row r="195" spans="1:8" x14ac:dyDescent="0.2">
      <c r="A195" s="50" t="str">
        <f>IF(ISBLANK(RECAPITULATIF!A204),"",RECAPITULATIF!A204)</f>
        <v/>
      </c>
      <c r="B195" s="50" t="str">
        <f>IF(ISBLANK(RECAPITULATIF!B204),"",RECAPITULATIF!B204)</f>
        <v/>
      </c>
      <c r="C195" s="50" t="str">
        <f>IF(ISBLANK(RECAPITULATIF!C204),"",RECAPITULATIF!C204)</f>
        <v/>
      </c>
      <c r="D195" s="69"/>
      <c r="E195" s="70"/>
      <c r="F195" s="69"/>
      <c r="G195" s="85"/>
      <c r="H195" s="70"/>
    </row>
    <row r="196" spans="1:8" x14ac:dyDescent="0.2">
      <c r="A196" s="50" t="str">
        <f>IF(ISBLANK(RECAPITULATIF!A205),"",RECAPITULATIF!A205)</f>
        <v/>
      </c>
      <c r="B196" s="50" t="str">
        <f>IF(ISBLANK(RECAPITULATIF!B205),"",RECAPITULATIF!B205)</f>
        <v/>
      </c>
      <c r="C196" s="50" t="str">
        <f>IF(ISBLANK(RECAPITULATIF!C205),"",RECAPITULATIF!C205)</f>
        <v/>
      </c>
      <c r="D196" s="69"/>
      <c r="E196" s="70"/>
      <c r="F196" s="69"/>
      <c r="G196" s="85"/>
      <c r="H196" s="70"/>
    </row>
    <row r="197" spans="1:8" x14ac:dyDescent="0.2">
      <c r="A197" s="50" t="str">
        <f>IF(ISBLANK(RECAPITULATIF!A206),"",RECAPITULATIF!A206)</f>
        <v/>
      </c>
      <c r="B197" s="50" t="str">
        <f>IF(ISBLANK(RECAPITULATIF!B206),"",RECAPITULATIF!B206)</f>
        <v/>
      </c>
      <c r="C197" s="50" t="str">
        <f>IF(ISBLANK(RECAPITULATIF!C206),"",RECAPITULATIF!C206)</f>
        <v/>
      </c>
      <c r="D197" s="69"/>
      <c r="E197" s="70"/>
      <c r="F197" s="69"/>
      <c r="G197" s="85"/>
      <c r="H197" s="70"/>
    </row>
    <row r="198" spans="1:8" x14ac:dyDescent="0.2">
      <c r="A198" s="50" t="str">
        <f>IF(ISBLANK(RECAPITULATIF!A207),"",RECAPITULATIF!A207)</f>
        <v/>
      </c>
      <c r="B198" s="50" t="str">
        <f>IF(ISBLANK(RECAPITULATIF!B207),"",RECAPITULATIF!B207)</f>
        <v/>
      </c>
      <c r="C198" s="50" t="str">
        <f>IF(ISBLANK(RECAPITULATIF!C207),"",RECAPITULATIF!C207)</f>
        <v/>
      </c>
      <c r="D198" s="69"/>
      <c r="E198" s="70"/>
      <c r="F198" s="69"/>
      <c r="G198" s="85"/>
      <c r="H198" s="70"/>
    </row>
    <row r="199" spans="1:8" x14ac:dyDescent="0.2">
      <c r="A199" s="50" t="str">
        <f>IF(ISBLANK(RECAPITULATIF!A208),"",RECAPITULATIF!A208)</f>
        <v/>
      </c>
      <c r="B199" s="50" t="str">
        <f>IF(ISBLANK(RECAPITULATIF!B208),"",RECAPITULATIF!B208)</f>
        <v/>
      </c>
      <c r="C199" s="50" t="str">
        <f>IF(ISBLANK(RECAPITULATIF!C208),"",RECAPITULATIF!C208)</f>
        <v/>
      </c>
      <c r="D199" s="69"/>
      <c r="E199" s="70"/>
      <c r="F199" s="69"/>
      <c r="G199" s="85"/>
      <c r="H199" s="70"/>
    </row>
    <row r="200" spans="1:8" x14ac:dyDescent="0.2">
      <c r="A200" s="50" t="str">
        <f>IF(ISBLANK(RECAPITULATIF!A209),"",RECAPITULATIF!A209)</f>
        <v/>
      </c>
      <c r="B200" s="50" t="str">
        <f>IF(ISBLANK(RECAPITULATIF!B209),"",RECAPITULATIF!B209)</f>
        <v/>
      </c>
      <c r="C200" s="50" t="str">
        <f>IF(ISBLANK(RECAPITULATIF!C209),"",RECAPITULATIF!C209)</f>
        <v/>
      </c>
      <c r="D200" s="69"/>
      <c r="E200" s="70"/>
      <c r="F200" s="69"/>
      <c r="G200" s="85"/>
      <c r="H200" s="70"/>
    </row>
    <row r="201" spans="1:8" x14ac:dyDescent="0.2">
      <c r="A201" s="50" t="str">
        <f>IF(ISBLANK(RECAPITULATIF!A210),"",RECAPITULATIF!A210)</f>
        <v/>
      </c>
      <c r="B201" s="50" t="str">
        <f>IF(ISBLANK(RECAPITULATIF!B210),"",RECAPITULATIF!B210)</f>
        <v/>
      </c>
      <c r="C201" s="50" t="str">
        <f>IF(ISBLANK(RECAPITULATIF!C210),"",RECAPITULATIF!C210)</f>
        <v/>
      </c>
      <c r="D201" s="69"/>
      <c r="E201" s="70"/>
      <c r="F201" s="69"/>
      <c r="G201" s="85"/>
      <c r="H201" s="70"/>
    </row>
    <row r="202" spans="1:8" x14ac:dyDescent="0.2">
      <c r="A202" s="50" t="str">
        <f>IF(ISBLANK(RECAPITULATIF!A211),"",RECAPITULATIF!A211)</f>
        <v/>
      </c>
      <c r="B202" s="50" t="str">
        <f>IF(ISBLANK(RECAPITULATIF!B211),"",RECAPITULATIF!B211)</f>
        <v/>
      </c>
      <c r="C202" s="50" t="str">
        <f>IF(ISBLANK(RECAPITULATIF!C211),"",RECAPITULATIF!C211)</f>
        <v/>
      </c>
      <c r="D202" s="69"/>
      <c r="E202" s="70"/>
      <c r="F202" s="69"/>
      <c r="G202" s="85"/>
      <c r="H202" s="70"/>
    </row>
    <row r="203" spans="1:8" x14ac:dyDescent="0.2">
      <c r="A203" s="50" t="str">
        <f>IF(ISBLANK(RECAPITULATIF!A212),"",RECAPITULATIF!A212)</f>
        <v/>
      </c>
      <c r="B203" s="50" t="str">
        <f>IF(ISBLANK(RECAPITULATIF!B212),"",RECAPITULATIF!B212)</f>
        <v/>
      </c>
      <c r="C203" s="50" t="str">
        <f>IF(ISBLANK(RECAPITULATIF!C212),"",RECAPITULATIF!C212)</f>
        <v/>
      </c>
      <c r="D203" s="69"/>
      <c r="E203" s="70"/>
      <c r="F203" s="69"/>
      <c r="G203" s="85"/>
      <c r="H203" s="70"/>
    </row>
    <row r="204" spans="1:8" x14ac:dyDescent="0.2">
      <c r="A204" s="50" t="str">
        <f>IF(ISBLANK(RECAPITULATIF!A213),"",RECAPITULATIF!A213)</f>
        <v/>
      </c>
      <c r="B204" s="50" t="str">
        <f>IF(ISBLANK(RECAPITULATIF!B213),"",RECAPITULATIF!B213)</f>
        <v/>
      </c>
      <c r="C204" s="50" t="str">
        <f>IF(ISBLANK(RECAPITULATIF!C213),"",RECAPITULATIF!C213)</f>
        <v/>
      </c>
      <c r="D204" s="69"/>
      <c r="E204" s="70"/>
      <c r="F204" s="69"/>
      <c r="G204" s="85"/>
      <c r="H204" s="70"/>
    </row>
    <row r="205" spans="1:8" x14ac:dyDescent="0.2">
      <c r="A205" s="50" t="str">
        <f>IF(ISBLANK(RECAPITULATIF!A214),"",RECAPITULATIF!A214)</f>
        <v/>
      </c>
      <c r="B205" s="50" t="str">
        <f>IF(ISBLANK(RECAPITULATIF!B214),"",RECAPITULATIF!B214)</f>
        <v/>
      </c>
      <c r="C205" s="50" t="str">
        <f>IF(ISBLANK(RECAPITULATIF!C214),"",RECAPITULATIF!C214)</f>
        <v/>
      </c>
      <c r="D205" s="69"/>
      <c r="E205" s="70"/>
      <c r="F205" s="69"/>
      <c r="G205" s="85"/>
      <c r="H205" s="70"/>
    </row>
    <row r="206" spans="1:8" x14ac:dyDescent="0.2">
      <c r="A206" s="50" t="str">
        <f>IF(ISBLANK(RECAPITULATIF!A215),"",RECAPITULATIF!A215)</f>
        <v/>
      </c>
      <c r="B206" s="50" t="str">
        <f>IF(ISBLANK(RECAPITULATIF!B215),"",RECAPITULATIF!B215)</f>
        <v/>
      </c>
      <c r="C206" s="50" t="str">
        <f>IF(ISBLANK(RECAPITULATIF!C215),"",RECAPITULATIF!C215)</f>
        <v/>
      </c>
      <c r="D206" s="69"/>
      <c r="E206" s="70"/>
      <c r="F206" s="69"/>
      <c r="G206" s="85"/>
      <c r="H206" s="70"/>
    </row>
    <row r="207" spans="1:8" x14ac:dyDescent="0.2">
      <c r="A207" s="50" t="str">
        <f>IF(ISBLANK(RECAPITULATIF!A216),"",RECAPITULATIF!A216)</f>
        <v/>
      </c>
      <c r="B207" s="50" t="str">
        <f>IF(ISBLANK(RECAPITULATIF!B216),"",RECAPITULATIF!B216)</f>
        <v/>
      </c>
      <c r="C207" s="50" t="str">
        <f>IF(ISBLANK(RECAPITULATIF!C216),"",RECAPITULATIF!C216)</f>
        <v/>
      </c>
      <c r="D207" s="69"/>
      <c r="E207" s="70"/>
      <c r="F207" s="69"/>
      <c r="G207" s="85"/>
      <c r="H207" s="70"/>
    </row>
    <row r="208" spans="1:8" x14ac:dyDescent="0.2">
      <c r="A208" s="50" t="str">
        <f>IF(ISBLANK(RECAPITULATIF!A217),"",RECAPITULATIF!A217)</f>
        <v/>
      </c>
      <c r="B208" s="50" t="str">
        <f>IF(ISBLANK(RECAPITULATIF!B217),"",RECAPITULATIF!B217)</f>
        <v/>
      </c>
      <c r="C208" s="50" t="str">
        <f>IF(ISBLANK(RECAPITULATIF!C217),"",RECAPITULATIF!C217)</f>
        <v/>
      </c>
      <c r="D208" s="69"/>
      <c r="E208" s="70"/>
      <c r="F208" s="69"/>
      <c r="G208" s="85"/>
      <c r="H208" s="70"/>
    </row>
    <row r="209" spans="1:8" x14ac:dyDescent="0.2">
      <c r="A209" s="50" t="str">
        <f>IF(ISBLANK(RECAPITULATIF!A218),"",RECAPITULATIF!A218)</f>
        <v/>
      </c>
      <c r="B209" s="50" t="str">
        <f>IF(ISBLANK(RECAPITULATIF!B218),"",RECAPITULATIF!B218)</f>
        <v/>
      </c>
      <c r="C209" s="50" t="str">
        <f>IF(ISBLANK(RECAPITULATIF!C218),"",RECAPITULATIF!C218)</f>
        <v/>
      </c>
      <c r="D209" s="69"/>
      <c r="E209" s="70"/>
      <c r="F209" s="69"/>
      <c r="G209" s="85"/>
      <c r="H209" s="70"/>
    </row>
    <row r="210" spans="1:8" x14ac:dyDescent="0.2">
      <c r="A210" s="50" t="str">
        <f>IF(ISBLANK(RECAPITULATIF!A219),"",RECAPITULATIF!A219)</f>
        <v/>
      </c>
      <c r="B210" s="50" t="str">
        <f>IF(ISBLANK(RECAPITULATIF!B219),"",RECAPITULATIF!B219)</f>
        <v/>
      </c>
      <c r="C210" s="50" t="str">
        <f>IF(ISBLANK(RECAPITULATIF!C219),"",RECAPITULATIF!C219)</f>
        <v/>
      </c>
      <c r="D210" s="69"/>
      <c r="E210" s="70"/>
      <c r="F210" s="69"/>
      <c r="G210" s="85"/>
      <c r="H210" s="70"/>
    </row>
    <row r="211" spans="1:8" x14ac:dyDescent="0.2">
      <c r="A211" s="50" t="str">
        <f>IF(ISBLANK(RECAPITULATIF!A220),"",RECAPITULATIF!A220)</f>
        <v/>
      </c>
      <c r="B211" s="50" t="str">
        <f>IF(ISBLANK(RECAPITULATIF!B220),"",RECAPITULATIF!B220)</f>
        <v/>
      </c>
      <c r="C211" s="50" t="str">
        <f>IF(ISBLANK(RECAPITULATIF!C220),"",RECAPITULATIF!C220)</f>
        <v/>
      </c>
      <c r="D211" s="69"/>
      <c r="E211" s="70"/>
      <c r="F211" s="69"/>
      <c r="G211" s="85"/>
      <c r="H211" s="70"/>
    </row>
    <row r="212" spans="1:8" x14ac:dyDescent="0.2">
      <c r="A212" s="50" t="str">
        <f>IF(ISBLANK(RECAPITULATIF!A221),"",RECAPITULATIF!A221)</f>
        <v/>
      </c>
      <c r="B212" s="50" t="str">
        <f>IF(ISBLANK(RECAPITULATIF!B221),"",RECAPITULATIF!B221)</f>
        <v/>
      </c>
      <c r="C212" s="50" t="str">
        <f>IF(ISBLANK(RECAPITULATIF!C221),"",RECAPITULATIF!C221)</f>
        <v/>
      </c>
      <c r="D212" s="69"/>
      <c r="E212" s="70"/>
      <c r="F212" s="69"/>
      <c r="G212" s="85"/>
      <c r="H212" s="70"/>
    </row>
    <row r="213" spans="1:8" x14ac:dyDescent="0.2">
      <c r="A213" s="50" t="str">
        <f>IF(ISBLANK(RECAPITULATIF!A222),"",RECAPITULATIF!A222)</f>
        <v/>
      </c>
      <c r="B213" s="50" t="str">
        <f>IF(ISBLANK(RECAPITULATIF!B222),"",RECAPITULATIF!B222)</f>
        <v/>
      </c>
      <c r="C213" s="50" t="str">
        <f>IF(ISBLANK(RECAPITULATIF!C222),"",RECAPITULATIF!C222)</f>
        <v/>
      </c>
      <c r="D213" s="69"/>
      <c r="E213" s="70"/>
      <c r="F213" s="69"/>
      <c r="G213" s="85"/>
      <c r="H213" s="70"/>
    </row>
    <row r="214" spans="1:8" x14ac:dyDescent="0.2">
      <c r="A214" s="50" t="str">
        <f>IF(ISBLANK(RECAPITULATIF!A223),"",RECAPITULATIF!A223)</f>
        <v/>
      </c>
      <c r="B214" s="50" t="str">
        <f>IF(ISBLANK(RECAPITULATIF!B223),"",RECAPITULATIF!B223)</f>
        <v/>
      </c>
      <c r="C214" s="50" t="str">
        <f>IF(ISBLANK(RECAPITULATIF!C223),"",RECAPITULATIF!C223)</f>
        <v/>
      </c>
      <c r="D214" s="69"/>
      <c r="E214" s="70"/>
      <c r="F214" s="69"/>
      <c r="G214" s="85"/>
      <c r="H214" s="70"/>
    </row>
    <row r="215" spans="1:8" x14ac:dyDescent="0.2">
      <c r="A215" s="50" t="str">
        <f>IF(ISBLANK(RECAPITULATIF!A224),"",RECAPITULATIF!A224)</f>
        <v/>
      </c>
      <c r="B215" s="50" t="str">
        <f>IF(ISBLANK(RECAPITULATIF!B224),"",RECAPITULATIF!B224)</f>
        <v/>
      </c>
      <c r="C215" s="50" t="str">
        <f>IF(ISBLANK(RECAPITULATIF!C224),"",RECAPITULATIF!C224)</f>
        <v/>
      </c>
      <c r="D215" s="69"/>
      <c r="E215" s="70"/>
      <c r="F215" s="69"/>
      <c r="G215" s="85"/>
      <c r="H215" s="70"/>
    </row>
    <row r="216" spans="1:8" x14ac:dyDescent="0.2">
      <c r="A216" s="50" t="str">
        <f>IF(ISBLANK(RECAPITULATIF!A225),"",RECAPITULATIF!A225)</f>
        <v/>
      </c>
      <c r="B216" s="50" t="str">
        <f>IF(ISBLANK(RECAPITULATIF!B225),"",RECAPITULATIF!B225)</f>
        <v/>
      </c>
      <c r="C216" s="50" t="str">
        <f>IF(ISBLANK(RECAPITULATIF!C225),"",RECAPITULATIF!C225)</f>
        <v/>
      </c>
      <c r="D216" s="69"/>
      <c r="E216" s="70"/>
      <c r="F216" s="69"/>
      <c r="G216" s="85"/>
      <c r="H216" s="70"/>
    </row>
    <row r="217" spans="1:8" x14ac:dyDescent="0.2">
      <c r="A217" s="50" t="str">
        <f>IF(ISBLANK(RECAPITULATIF!A226),"",RECAPITULATIF!A226)</f>
        <v/>
      </c>
      <c r="B217" s="50" t="str">
        <f>IF(ISBLANK(RECAPITULATIF!B226),"",RECAPITULATIF!B226)</f>
        <v/>
      </c>
      <c r="C217" s="50" t="str">
        <f>IF(ISBLANK(RECAPITULATIF!C226),"",RECAPITULATIF!C226)</f>
        <v/>
      </c>
      <c r="D217" s="69"/>
      <c r="E217" s="70"/>
      <c r="F217" s="69"/>
      <c r="G217" s="85"/>
      <c r="H217" s="70"/>
    </row>
    <row r="218" spans="1:8" x14ac:dyDescent="0.2">
      <c r="A218" s="50" t="str">
        <f>IF(ISBLANK(RECAPITULATIF!A227),"",RECAPITULATIF!A227)</f>
        <v/>
      </c>
      <c r="B218" s="50" t="str">
        <f>IF(ISBLANK(RECAPITULATIF!B227),"",RECAPITULATIF!B227)</f>
        <v/>
      </c>
      <c r="C218" s="50" t="str">
        <f>IF(ISBLANK(RECAPITULATIF!C227),"",RECAPITULATIF!C227)</f>
        <v/>
      </c>
      <c r="D218" s="69"/>
      <c r="E218" s="70"/>
      <c r="F218" s="69"/>
      <c r="G218" s="85"/>
      <c r="H218" s="70"/>
    </row>
    <row r="219" spans="1:8" x14ac:dyDescent="0.2">
      <c r="A219" s="50" t="str">
        <f>IF(ISBLANK(RECAPITULATIF!A228),"",RECAPITULATIF!A228)</f>
        <v/>
      </c>
      <c r="B219" s="50" t="str">
        <f>IF(ISBLANK(RECAPITULATIF!B228),"",RECAPITULATIF!B228)</f>
        <v/>
      </c>
      <c r="C219" s="50" t="str">
        <f>IF(ISBLANK(RECAPITULATIF!C228),"",RECAPITULATIF!C228)</f>
        <v/>
      </c>
      <c r="D219" s="69"/>
      <c r="E219" s="70"/>
      <c r="F219" s="69"/>
      <c r="G219" s="85"/>
      <c r="H219" s="70"/>
    </row>
    <row r="220" spans="1:8" x14ac:dyDescent="0.2">
      <c r="A220" s="50" t="str">
        <f>IF(ISBLANK(RECAPITULATIF!A229),"",RECAPITULATIF!A229)</f>
        <v/>
      </c>
      <c r="B220" s="50" t="str">
        <f>IF(ISBLANK(RECAPITULATIF!B229),"",RECAPITULATIF!B229)</f>
        <v/>
      </c>
      <c r="C220" s="50" t="str">
        <f>IF(ISBLANK(RECAPITULATIF!C229),"",RECAPITULATIF!C229)</f>
        <v/>
      </c>
      <c r="D220" s="69"/>
      <c r="E220" s="70"/>
      <c r="F220" s="69"/>
      <c r="G220" s="85"/>
      <c r="H220" s="70"/>
    </row>
    <row r="221" spans="1:8" x14ac:dyDescent="0.2">
      <c r="A221" s="50" t="str">
        <f>IF(ISBLANK(RECAPITULATIF!A230),"",RECAPITULATIF!A230)</f>
        <v/>
      </c>
      <c r="B221" s="50" t="str">
        <f>IF(ISBLANK(RECAPITULATIF!B230),"",RECAPITULATIF!B230)</f>
        <v/>
      </c>
      <c r="C221" s="50" t="str">
        <f>IF(ISBLANK(RECAPITULATIF!C230),"",RECAPITULATIF!C230)</f>
        <v/>
      </c>
      <c r="D221" s="69"/>
      <c r="E221" s="70"/>
      <c r="F221" s="69"/>
      <c r="G221" s="85"/>
      <c r="H221" s="70"/>
    </row>
    <row r="222" spans="1:8" x14ac:dyDescent="0.2">
      <c r="A222" s="50" t="str">
        <f>IF(ISBLANK(RECAPITULATIF!A231),"",RECAPITULATIF!A231)</f>
        <v/>
      </c>
      <c r="B222" s="50" t="str">
        <f>IF(ISBLANK(RECAPITULATIF!B231),"",RECAPITULATIF!B231)</f>
        <v/>
      </c>
      <c r="C222" s="50" t="str">
        <f>IF(ISBLANK(RECAPITULATIF!C231),"",RECAPITULATIF!C231)</f>
        <v/>
      </c>
      <c r="D222" s="69"/>
      <c r="E222" s="70"/>
      <c r="F222" s="69"/>
      <c r="G222" s="85"/>
      <c r="H222" s="70"/>
    </row>
    <row r="223" spans="1:8" x14ac:dyDescent="0.2">
      <c r="A223" s="50" t="str">
        <f>IF(ISBLANK(RECAPITULATIF!A232),"",RECAPITULATIF!A232)</f>
        <v/>
      </c>
      <c r="B223" s="50" t="str">
        <f>IF(ISBLANK(RECAPITULATIF!B232),"",RECAPITULATIF!B232)</f>
        <v/>
      </c>
      <c r="C223" s="50" t="str">
        <f>IF(ISBLANK(RECAPITULATIF!C232),"",RECAPITULATIF!C232)</f>
        <v/>
      </c>
      <c r="D223" s="69"/>
      <c r="E223" s="70"/>
      <c r="F223" s="69"/>
      <c r="G223" s="85"/>
      <c r="H223" s="70"/>
    </row>
    <row r="224" spans="1:8" x14ac:dyDescent="0.2">
      <c r="A224" s="50" t="str">
        <f>IF(ISBLANK(RECAPITULATIF!A233),"",RECAPITULATIF!A233)</f>
        <v/>
      </c>
      <c r="B224" s="50" t="str">
        <f>IF(ISBLANK(RECAPITULATIF!B233),"",RECAPITULATIF!B233)</f>
        <v/>
      </c>
      <c r="C224" s="50" t="str">
        <f>IF(ISBLANK(RECAPITULATIF!C233),"",RECAPITULATIF!C233)</f>
        <v/>
      </c>
      <c r="D224" s="69"/>
      <c r="E224" s="70"/>
      <c r="F224" s="69"/>
      <c r="G224" s="85"/>
      <c r="H224" s="70"/>
    </row>
    <row r="225" spans="1:8" x14ac:dyDescent="0.2">
      <c r="A225" s="50" t="str">
        <f>IF(ISBLANK(RECAPITULATIF!A234),"",RECAPITULATIF!A234)</f>
        <v/>
      </c>
      <c r="B225" s="50" t="str">
        <f>IF(ISBLANK(RECAPITULATIF!B234),"",RECAPITULATIF!B234)</f>
        <v/>
      </c>
      <c r="C225" s="50" t="str">
        <f>IF(ISBLANK(RECAPITULATIF!C234),"",RECAPITULATIF!C234)</f>
        <v/>
      </c>
      <c r="D225" s="69"/>
      <c r="E225" s="70"/>
      <c r="F225" s="69"/>
      <c r="G225" s="85"/>
      <c r="H225" s="70"/>
    </row>
    <row r="226" spans="1:8" x14ac:dyDescent="0.2">
      <c r="A226" s="50" t="str">
        <f>IF(ISBLANK(RECAPITULATIF!A235),"",RECAPITULATIF!A235)</f>
        <v/>
      </c>
      <c r="B226" s="50" t="str">
        <f>IF(ISBLANK(RECAPITULATIF!B235),"",RECAPITULATIF!B235)</f>
        <v/>
      </c>
      <c r="C226" s="50" t="str">
        <f>IF(ISBLANK(RECAPITULATIF!C235),"",RECAPITULATIF!C235)</f>
        <v/>
      </c>
      <c r="D226" s="69"/>
      <c r="E226" s="70"/>
      <c r="F226" s="69"/>
      <c r="G226" s="85"/>
      <c r="H226" s="70"/>
    </row>
    <row r="227" spans="1:8" x14ac:dyDescent="0.2">
      <c r="A227" s="50" t="str">
        <f>IF(ISBLANK(RECAPITULATIF!A236),"",RECAPITULATIF!A236)</f>
        <v/>
      </c>
      <c r="B227" s="50" t="str">
        <f>IF(ISBLANK(RECAPITULATIF!B236),"",RECAPITULATIF!B236)</f>
        <v/>
      </c>
      <c r="C227" s="50" t="str">
        <f>IF(ISBLANK(RECAPITULATIF!C236),"",RECAPITULATIF!C236)</f>
        <v/>
      </c>
      <c r="D227" s="69"/>
      <c r="E227" s="70"/>
      <c r="F227" s="69"/>
      <c r="G227" s="85"/>
      <c r="H227" s="70"/>
    </row>
    <row r="228" spans="1:8" x14ac:dyDescent="0.2">
      <c r="A228" s="50" t="str">
        <f>IF(ISBLANK(RECAPITULATIF!A237),"",RECAPITULATIF!A237)</f>
        <v/>
      </c>
      <c r="B228" s="50" t="str">
        <f>IF(ISBLANK(RECAPITULATIF!B237),"",RECAPITULATIF!B237)</f>
        <v/>
      </c>
      <c r="C228" s="50" t="str">
        <f>IF(ISBLANK(RECAPITULATIF!C237),"",RECAPITULATIF!C237)</f>
        <v/>
      </c>
      <c r="D228" s="69"/>
      <c r="E228" s="70"/>
      <c r="F228" s="69"/>
      <c r="G228" s="85"/>
      <c r="H228" s="70"/>
    </row>
    <row r="229" spans="1:8" x14ac:dyDescent="0.2">
      <c r="A229" s="50" t="str">
        <f>IF(ISBLANK(RECAPITULATIF!A238),"",RECAPITULATIF!A238)</f>
        <v/>
      </c>
      <c r="B229" s="50" t="str">
        <f>IF(ISBLANK(RECAPITULATIF!B238),"",RECAPITULATIF!B238)</f>
        <v/>
      </c>
      <c r="C229" s="50" t="str">
        <f>IF(ISBLANK(RECAPITULATIF!C238),"",RECAPITULATIF!C238)</f>
        <v/>
      </c>
      <c r="D229" s="69"/>
      <c r="E229" s="70"/>
      <c r="F229" s="69"/>
      <c r="G229" s="85"/>
      <c r="H229" s="70"/>
    </row>
    <row r="230" spans="1:8" x14ac:dyDescent="0.2">
      <c r="A230" s="50" t="str">
        <f>IF(ISBLANK(RECAPITULATIF!A239),"",RECAPITULATIF!A239)</f>
        <v/>
      </c>
      <c r="B230" s="50" t="str">
        <f>IF(ISBLANK(RECAPITULATIF!B239),"",RECAPITULATIF!B239)</f>
        <v/>
      </c>
      <c r="C230" s="50" t="str">
        <f>IF(ISBLANK(RECAPITULATIF!C239),"",RECAPITULATIF!C239)</f>
        <v/>
      </c>
      <c r="D230" s="69"/>
      <c r="E230" s="70"/>
      <c r="F230" s="69"/>
      <c r="G230" s="85"/>
      <c r="H230" s="70"/>
    </row>
    <row r="231" spans="1:8" x14ac:dyDescent="0.2">
      <c r="A231" s="50" t="str">
        <f>IF(ISBLANK(RECAPITULATIF!A240),"",RECAPITULATIF!A240)</f>
        <v/>
      </c>
      <c r="B231" s="50" t="str">
        <f>IF(ISBLANK(RECAPITULATIF!B240),"",RECAPITULATIF!B240)</f>
        <v/>
      </c>
      <c r="C231" s="50" t="str">
        <f>IF(ISBLANK(RECAPITULATIF!C240),"",RECAPITULATIF!C240)</f>
        <v/>
      </c>
      <c r="D231" s="69"/>
      <c r="E231" s="70"/>
      <c r="F231" s="69"/>
      <c r="G231" s="85"/>
      <c r="H231" s="70"/>
    </row>
    <row r="232" spans="1:8" x14ac:dyDescent="0.2">
      <c r="A232" s="50" t="str">
        <f>IF(ISBLANK(RECAPITULATIF!A241),"",RECAPITULATIF!A241)</f>
        <v/>
      </c>
      <c r="B232" s="50" t="str">
        <f>IF(ISBLANK(RECAPITULATIF!B241),"",RECAPITULATIF!B241)</f>
        <v/>
      </c>
      <c r="C232" s="50" t="str">
        <f>IF(ISBLANK(RECAPITULATIF!C241),"",RECAPITULATIF!C241)</f>
        <v/>
      </c>
      <c r="D232" s="69"/>
      <c r="E232" s="70"/>
      <c r="F232" s="69"/>
      <c r="G232" s="85"/>
      <c r="H232" s="70"/>
    </row>
    <row r="233" spans="1:8" x14ac:dyDescent="0.2">
      <c r="A233" s="50" t="str">
        <f>IF(ISBLANK(RECAPITULATIF!A242),"",RECAPITULATIF!A242)</f>
        <v/>
      </c>
      <c r="B233" s="50" t="str">
        <f>IF(ISBLANK(RECAPITULATIF!B242),"",RECAPITULATIF!B242)</f>
        <v/>
      </c>
      <c r="C233" s="50" t="str">
        <f>IF(ISBLANK(RECAPITULATIF!C242),"",RECAPITULATIF!C242)</f>
        <v/>
      </c>
      <c r="D233" s="69"/>
      <c r="E233" s="70"/>
      <c r="F233" s="69"/>
      <c r="G233" s="85"/>
      <c r="H233" s="70"/>
    </row>
    <row r="234" spans="1:8" x14ac:dyDescent="0.2">
      <c r="A234" s="50" t="str">
        <f>IF(ISBLANK(RECAPITULATIF!A243),"",RECAPITULATIF!A243)</f>
        <v/>
      </c>
      <c r="B234" s="50" t="str">
        <f>IF(ISBLANK(RECAPITULATIF!B243),"",RECAPITULATIF!B243)</f>
        <v/>
      </c>
      <c r="C234" s="50" t="str">
        <f>IF(ISBLANK(RECAPITULATIF!C243),"",RECAPITULATIF!C243)</f>
        <v/>
      </c>
      <c r="D234" s="69"/>
      <c r="E234" s="70"/>
      <c r="F234" s="69"/>
      <c r="G234" s="85"/>
      <c r="H234" s="70"/>
    </row>
    <row r="235" spans="1:8" x14ac:dyDescent="0.2">
      <c r="A235" s="50" t="str">
        <f>IF(ISBLANK(RECAPITULATIF!A244),"",RECAPITULATIF!A244)</f>
        <v/>
      </c>
      <c r="B235" s="50" t="str">
        <f>IF(ISBLANK(RECAPITULATIF!B244),"",RECAPITULATIF!B244)</f>
        <v/>
      </c>
      <c r="C235" s="50" t="str">
        <f>IF(ISBLANK(RECAPITULATIF!C244),"",RECAPITULATIF!C244)</f>
        <v/>
      </c>
      <c r="D235" s="69"/>
      <c r="E235" s="70"/>
      <c r="F235" s="69"/>
      <c r="G235" s="85"/>
      <c r="H235" s="70"/>
    </row>
    <row r="236" spans="1:8" x14ac:dyDescent="0.2">
      <c r="A236" s="50" t="str">
        <f>IF(ISBLANK(RECAPITULATIF!A245),"",RECAPITULATIF!A245)</f>
        <v/>
      </c>
      <c r="B236" s="50" t="str">
        <f>IF(ISBLANK(RECAPITULATIF!B245),"",RECAPITULATIF!B245)</f>
        <v/>
      </c>
      <c r="C236" s="50" t="str">
        <f>IF(ISBLANK(RECAPITULATIF!C245),"",RECAPITULATIF!C245)</f>
        <v/>
      </c>
      <c r="D236" s="69"/>
      <c r="E236" s="70"/>
      <c r="F236" s="69"/>
      <c r="G236" s="85"/>
      <c r="H236" s="70"/>
    </row>
    <row r="237" spans="1:8" x14ac:dyDescent="0.2">
      <c r="A237" s="50" t="str">
        <f>IF(ISBLANK(RECAPITULATIF!A246),"",RECAPITULATIF!A246)</f>
        <v/>
      </c>
      <c r="B237" s="50" t="str">
        <f>IF(ISBLANK(RECAPITULATIF!B246),"",RECAPITULATIF!B246)</f>
        <v/>
      </c>
      <c r="C237" s="50" t="str">
        <f>IF(ISBLANK(RECAPITULATIF!C246),"",RECAPITULATIF!C246)</f>
        <v/>
      </c>
      <c r="D237" s="69"/>
      <c r="E237" s="70"/>
      <c r="F237" s="69"/>
      <c r="G237" s="85"/>
      <c r="H237" s="70"/>
    </row>
    <row r="238" spans="1:8" x14ac:dyDescent="0.2">
      <c r="A238" s="50" t="str">
        <f>IF(ISBLANK(RECAPITULATIF!A247),"",RECAPITULATIF!A247)</f>
        <v/>
      </c>
      <c r="B238" s="50" t="str">
        <f>IF(ISBLANK(RECAPITULATIF!B247),"",RECAPITULATIF!B247)</f>
        <v/>
      </c>
      <c r="C238" s="50" t="str">
        <f>IF(ISBLANK(RECAPITULATIF!C247),"",RECAPITULATIF!C247)</f>
        <v/>
      </c>
      <c r="D238" s="69"/>
      <c r="E238" s="70"/>
      <c r="F238" s="69"/>
      <c r="G238" s="85"/>
      <c r="H238" s="70"/>
    </row>
    <row r="239" spans="1:8" x14ac:dyDescent="0.2">
      <c r="A239" s="50" t="str">
        <f>IF(ISBLANK(RECAPITULATIF!A248),"",RECAPITULATIF!A248)</f>
        <v/>
      </c>
      <c r="B239" s="50" t="str">
        <f>IF(ISBLANK(RECAPITULATIF!B248),"",RECAPITULATIF!B248)</f>
        <v/>
      </c>
      <c r="C239" s="50" t="str">
        <f>IF(ISBLANK(RECAPITULATIF!C248),"",RECAPITULATIF!C248)</f>
        <v/>
      </c>
      <c r="D239" s="69"/>
      <c r="E239" s="70"/>
      <c r="F239" s="69"/>
      <c r="G239" s="85"/>
      <c r="H239" s="70"/>
    </row>
    <row r="240" spans="1:8" x14ac:dyDescent="0.2">
      <c r="A240" s="50" t="str">
        <f>IF(ISBLANK(RECAPITULATIF!A249),"",RECAPITULATIF!A249)</f>
        <v/>
      </c>
      <c r="B240" s="50" t="str">
        <f>IF(ISBLANK(RECAPITULATIF!B249),"",RECAPITULATIF!B249)</f>
        <v/>
      </c>
      <c r="C240" s="50" t="str">
        <f>IF(ISBLANK(RECAPITULATIF!C249),"",RECAPITULATIF!C249)</f>
        <v/>
      </c>
      <c r="D240" s="69"/>
      <c r="E240" s="70"/>
      <c r="F240" s="69"/>
      <c r="G240" s="85"/>
      <c r="H240" s="70"/>
    </row>
    <row r="241" spans="1:8" x14ac:dyDescent="0.2">
      <c r="A241" s="50" t="str">
        <f>IF(ISBLANK(RECAPITULATIF!A250),"",RECAPITULATIF!A250)</f>
        <v/>
      </c>
      <c r="B241" s="50" t="str">
        <f>IF(ISBLANK(RECAPITULATIF!B250),"",RECAPITULATIF!B250)</f>
        <v/>
      </c>
      <c r="C241" s="50" t="str">
        <f>IF(ISBLANK(RECAPITULATIF!C250),"",RECAPITULATIF!C250)</f>
        <v/>
      </c>
      <c r="D241" s="69"/>
      <c r="E241" s="70"/>
      <c r="F241" s="69"/>
      <c r="G241" s="85"/>
      <c r="H241" s="70"/>
    </row>
    <row r="242" spans="1:8" x14ac:dyDescent="0.2">
      <c r="A242" s="50" t="str">
        <f>IF(ISBLANK(RECAPITULATIF!A251),"",RECAPITULATIF!A251)</f>
        <v/>
      </c>
      <c r="B242" s="50" t="str">
        <f>IF(ISBLANK(RECAPITULATIF!B251),"",RECAPITULATIF!B251)</f>
        <v/>
      </c>
      <c r="C242" s="50" t="str">
        <f>IF(ISBLANK(RECAPITULATIF!C251),"",RECAPITULATIF!C251)</f>
        <v/>
      </c>
      <c r="D242" s="69"/>
      <c r="E242" s="70"/>
      <c r="F242" s="69"/>
      <c r="G242" s="85"/>
      <c r="H242" s="70"/>
    </row>
    <row r="243" spans="1:8" x14ac:dyDescent="0.2">
      <c r="A243" s="50" t="str">
        <f>IF(ISBLANK(RECAPITULATIF!A252),"",RECAPITULATIF!A252)</f>
        <v/>
      </c>
      <c r="B243" s="50" t="str">
        <f>IF(ISBLANK(RECAPITULATIF!B252),"",RECAPITULATIF!B252)</f>
        <v/>
      </c>
      <c r="C243" s="50" t="str">
        <f>IF(ISBLANK(RECAPITULATIF!C252),"",RECAPITULATIF!C252)</f>
        <v/>
      </c>
      <c r="D243" s="69"/>
      <c r="E243" s="70"/>
      <c r="F243" s="69"/>
      <c r="G243" s="85"/>
      <c r="H243" s="70"/>
    </row>
    <row r="244" spans="1:8" x14ac:dyDescent="0.2">
      <c r="A244" s="50" t="str">
        <f>IF(ISBLANK(RECAPITULATIF!A253),"",RECAPITULATIF!A253)</f>
        <v/>
      </c>
      <c r="B244" s="50" t="str">
        <f>IF(ISBLANK(RECAPITULATIF!B253),"",RECAPITULATIF!B253)</f>
        <v/>
      </c>
      <c r="C244" s="50" t="str">
        <f>IF(ISBLANK(RECAPITULATIF!C253),"",RECAPITULATIF!C253)</f>
        <v/>
      </c>
      <c r="D244" s="69"/>
      <c r="E244" s="70"/>
      <c r="F244" s="69"/>
      <c r="G244" s="85"/>
      <c r="H244" s="70"/>
    </row>
    <row r="245" spans="1:8" x14ac:dyDescent="0.2">
      <c r="A245" s="50" t="str">
        <f>IF(ISBLANK(RECAPITULATIF!A254),"",RECAPITULATIF!A254)</f>
        <v/>
      </c>
      <c r="B245" s="50" t="str">
        <f>IF(ISBLANK(RECAPITULATIF!B254),"",RECAPITULATIF!B254)</f>
        <v/>
      </c>
      <c r="C245" s="50" t="str">
        <f>IF(ISBLANK(RECAPITULATIF!C254),"",RECAPITULATIF!C254)</f>
        <v/>
      </c>
      <c r="D245" s="69"/>
      <c r="E245" s="70"/>
      <c r="F245" s="69"/>
      <c r="G245" s="85"/>
      <c r="H245" s="70"/>
    </row>
    <row r="246" spans="1:8" x14ac:dyDescent="0.2">
      <c r="A246" s="50" t="str">
        <f>IF(ISBLANK(RECAPITULATIF!A255),"",RECAPITULATIF!A255)</f>
        <v/>
      </c>
      <c r="B246" s="50" t="str">
        <f>IF(ISBLANK(RECAPITULATIF!B255),"",RECAPITULATIF!B255)</f>
        <v/>
      </c>
      <c r="C246" s="50" t="str">
        <f>IF(ISBLANK(RECAPITULATIF!C255),"",RECAPITULATIF!C255)</f>
        <v/>
      </c>
      <c r="D246" s="69"/>
      <c r="E246" s="70"/>
      <c r="F246" s="69"/>
      <c r="G246" s="85"/>
      <c r="H246" s="70"/>
    </row>
    <row r="247" spans="1:8" x14ac:dyDescent="0.2">
      <c r="A247" s="50" t="str">
        <f>IF(ISBLANK(RECAPITULATIF!A256),"",RECAPITULATIF!A256)</f>
        <v/>
      </c>
      <c r="B247" s="50" t="str">
        <f>IF(ISBLANK(RECAPITULATIF!B256),"",RECAPITULATIF!B256)</f>
        <v/>
      </c>
      <c r="C247" s="50" t="str">
        <f>IF(ISBLANK(RECAPITULATIF!C256),"",RECAPITULATIF!C256)</f>
        <v/>
      </c>
      <c r="D247" s="69"/>
      <c r="E247" s="70"/>
      <c r="F247" s="69"/>
      <c r="G247" s="85"/>
      <c r="H247" s="70"/>
    </row>
    <row r="248" spans="1:8" x14ac:dyDescent="0.2">
      <c r="A248" s="50" t="str">
        <f>IF(ISBLANK(RECAPITULATIF!A257),"",RECAPITULATIF!A257)</f>
        <v/>
      </c>
      <c r="B248" s="50" t="str">
        <f>IF(ISBLANK(RECAPITULATIF!B257),"",RECAPITULATIF!B257)</f>
        <v/>
      </c>
      <c r="C248" s="50" t="str">
        <f>IF(ISBLANK(RECAPITULATIF!C257),"",RECAPITULATIF!C257)</f>
        <v/>
      </c>
      <c r="D248" s="69"/>
      <c r="E248" s="70"/>
      <c r="F248" s="69"/>
      <c r="G248" s="85"/>
      <c r="H248" s="70"/>
    </row>
    <row r="249" spans="1:8" x14ac:dyDescent="0.2">
      <c r="A249" s="50" t="str">
        <f>IF(ISBLANK(RECAPITULATIF!A258),"",RECAPITULATIF!A258)</f>
        <v/>
      </c>
      <c r="B249" s="50" t="str">
        <f>IF(ISBLANK(RECAPITULATIF!B258),"",RECAPITULATIF!B258)</f>
        <v/>
      </c>
      <c r="C249" s="50" t="str">
        <f>IF(ISBLANK(RECAPITULATIF!C258),"",RECAPITULATIF!C258)</f>
        <v/>
      </c>
      <c r="D249" s="69"/>
      <c r="E249" s="70"/>
      <c r="F249" s="69"/>
      <c r="G249" s="85"/>
      <c r="H249" s="70"/>
    </row>
    <row r="250" spans="1:8" x14ac:dyDescent="0.2">
      <c r="A250" s="50" t="str">
        <f>IF(ISBLANK(RECAPITULATIF!A259),"",RECAPITULATIF!A259)</f>
        <v/>
      </c>
      <c r="B250" s="50" t="str">
        <f>IF(ISBLANK(RECAPITULATIF!B259),"",RECAPITULATIF!B259)</f>
        <v/>
      </c>
      <c r="C250" s="50" t="str">
        <f>IF(ISBLANK(RECAPITULATIF!C259),"",RECAPITULATIF!C259)</f>
        <v/>
      </c>
      <c r="D250" s="69"/>
      <c r="E250" s="70"/>
      <c r="F250" s="69"/>
      <c r="G250" s="85"/>
      <c r="H250" s="70"/>
    </row>
    <row r="251" spans="1:8" x14ac:dyDescent="0.2">
      <c r="A251" s="50" t="str">
        <f>IF(ISBLANK(RECAPITULATIF!A260),"",RECAPITULATIF!A260)</f>
        <v/>
      </c>
      <c r="B251" s="50" t="str">
        <f>IF(ISBLANK(RECAPITULATIF!B260),"",RECAPITULATIF!B260)</f>
        <v/>
      </c>
      <c r="C251" s="50" t="str">
        <f>IF(ISBLANK(RECAPITULATIF!C260),"",RECAPITULATIF!C260)</f>
        <v/>
      </c>
      <c r="D251" s="69"/>
      <c r="E251" s="70"/>
      <c r="F251" s="69"/>
      <c r="G251" s="85"/>
      <c r="H251" s="70"/>
    </row>
    <row r="252" spans="1:8" x14ac:dyDescent="0.2">
      <c r="A252" s="50" t="str">
        <f>IF(ISBLANK(RECAPITULATIF!A261),"",RECAPITULATIF!A261)</f>
        <v/>
      </c>
      <c r="B252" s="50" t="str">
        <f>IF(ISBLANK(RECAPITULATIF!B261),"",RECAPITULATIF!B261)</f>
        <v/>
      </c>
      <c r="C252" s="50" t="str">
        <f>IF(ISBLANK(RECAPITULATIF!C261),"",RECAPITULATIF!C261)</f>
        <v/>
      </c>
      <c r="D252" s="69"/>
      <c r="E252" s="70"/>
      <c r="F252" s="69"/>
      <c r="G252" s="85"/>
      <c r="H252" s="70"/>
    </row>
    <row r="253" spans="1:8" x14ac:dyDescent="0.2">
      <c r="A253" s="50" t="str">
        <f>IF(ISBLANK(RECAPITULATIF!A262),"",RECAPITULATIF!A262)</f>
        <v/>
      </c>
      <c r="B253" s="50" t="str">
        <f>IF(ISBLANK(RECAPITULATIF!B262),"",RECAPITULATIF!B262)</f>
        <v/>
      </c>
      <c r="C253" s="50" t="str">
        <f>IF(ISBLANK(RECAPITULATIF!C262),"",RECAPITULATIF!C262)</f>
        <v/>
      </c>
      <c r="D253" s="69"/>
      <c r="E253" s="70"/>
      <c r="F253" s="69"/>
      <c r="G253" s="85"/>
      <c r="H253" s="70"/>
    </row>
    <row r="254" spans="1:8" x14ac:dyDescent="0.2">
      <c r="A254" s="50" t="str">
        <f>IF(ISBLANK(RECAPITULATIF!A263),"",RECAPITULATIF!A263)</f>
        <v/>
      </c>
      <c r="B254" s="50" t="str">
        <f>IF(ISBLANK(RECAPITULATIF!B263),"",RECAPITULATIF!B263)</f>
        <v/>
      </c>
      <c r="C254" s="50" t="str">
        <f>IF(ISBLANK(RECAPITULATIF!C263),"",RECAPITULATIF!C263)</f>
        <v/>
      </c>
      <c r="D254" s="69"/>
      <c r="E254" s="70"/>
      <c r="F254" s="69"/>
      <c r="G254" s="85"/>
      <c r="H254" s="70"/>
    </row>
    <row r="255" spans="1:8" x14ac:dyDescent="0.2">
      <c r="A255" s="50" t="str">
        <f>IF(ISBLANK(RECAPITULATIF!A264),"",RECAPITULATIF!A264)</f>
        <v/>
      </c>
      <c r="B255" s="50" t="str">
        <f>IF(ISBLANK(RECAPITULATIF!B264),"",RECAPITULATIF!B264)</f>
        <v/>
      </c>
      <c r="C255" s="50" t="str">
        <f>IF(ISBLANK(RECAPITULATIF!C264),"",RECAPITULATIF!C264)</f>
        <v/>
      </c>
      <c r="D255" s="69"/>
      <c r="E255" s="70"/>
      <c r="F255" s="69"/>
      <c r="G255" s="85"/>
      <c r="H255" s="70"/>
    </row>
    <row r="256" spans="1:8" x14ac:dyDescent="0.2">
      <c r="A256" s="50" t="str">
        <f>IF(ISBLANK(RECAPITULATIF!A265),"",RECAPITULATIF!A265)</f>
        <v/>
      </c>
      <c r="B256" s="50" t="str">
        <f>IF(ISBLANK(RECAPITULATIF!B265),"",RECAPITULATIF!B265)</f>
        <v/>
      </c>
      <c r="C256" s="50" t="str">
        <f>IF(ISBLANK(RECAPITULATIF!C265),"",RECAPITULATIF!C265)</f>
        <v/>
      </c>
      <c r="D256" s="69"/>
      <c r="E256" s="70"/>
      <c r="F256" s="69"/>
      <c r="G256" s="85"/>
      <c r="H256" s="70"/>
    </row>
    <row r="257" spans="1:8" x14ac:dyDescent="0.2">
      <c r="A257" s="50" t="str">
        <f>IF(ISBLANK(RECAPITULATIF!A266),"",RECAPITULATIF!A266)</f>
        <v/>
      </c>
      <c r="B257" s="50" t="str">
        <f>IF(ISBLANK(RECAPITULATIF!B266),"",RECAPITULATIF!B266)</f>
        <v/>
      </c>
      <c r="C257" s="50" t="str">
        <f>IF(ISBLANK(RECAPITULATIF!C266),"",RECAPITULATIF!C266)</f>
        <v/>
      </c>
      <c r="D257" s="69"/>
      <c r="E257" s="70"/>
      <c r="F257" s="69"/>
      <c r="G257" s="85"/>
      <c r="H257" s="70"/>
    </row>
    <row r="258" spans="1:8" ht="16" thickBot="1" x14ac:dyDescent="0.25">
      <c r="A258" s="50" t="str">
        <f>IF(ISBLANK(RECAPITULATIF!A267),"",RECAPITULATIF!A267)</f>
        <v/>
      </c>
      <c r="B258" s="50" t="str">
        <f>IF(ISBLANK(RECAPITULATIF!B267),"",RECAPITULATIF!B267)</f>
        <v/>
      </c>
      <c r="C258" s="50" t="str">
        <f>IF(ISBLANK(RECAPITULATIF!C267),"",RECAPITULATIF!C267)</f>
        <v/>
      </c>
      <c r="D258" s="77"/>
      <c r="E258" s="78"/>
      <c r="F258" s="77"/>
      <c r="G258" s="86"/>
      <c r="H258" s="78"/>
    </row>
    <row r="259" spans="1:8" x14ac:dyDescent="0.2">
      <c r="A259" s="6" t="s">
        <v>21</v>
      </c>
      <c r="B259" s="7"/>
      <c r="C259" s="7"/>
      <c r="D259" s="81">
        <f>SUM(D9:D258)</f>
        <v>0</v>
      </c>
      <c r="E259" s="82">
        <f>SUM(E9:E258)</f>
        <v>0</v>
      </c>
      <c r="F259" s="87">
        <f>SUM(F9:F258)</f>
        <v>0</v>
      </c>
      <c r="G259" s="88">
        <f>SUM(G9:G258)</f>
        <v>0</v>
      </c>
      <c r="H259" s="82">
        <f>SUM(H9:H258)</f>
        <v>0</v>
      </c>
    </row>
    <row r="260" spans="1:8" s="14" customFormat="1" ht="12" thickBot="1" x14ac:dyDescent="0.2">
      <c r="A260" s="9" t="s">
        <v>22</v>
      </c>
      <c r="B260" s="10"/>
      <c r="C260" s="10"/>
      <c r="D260" s="11" t="s">
        <v>41</v>
      </c>
      <c r="E260" s="22" t="s">
        <v>41</v>
      </c>
      <c r="F260" s="32" t="s">
        <v>41</v>
      </c>
      <c r="G260" s="34" t="s">
        <v>23</v>
      </c>
      <c r="H260" s="22" t="s">
        <v>41</v>
      </c>
    </row>
    <row r="261" spans="1:8" ht="12" customHeight="1" x14ac:dyDescent="0.2">
      <c r="A261" s="45" t="s">
        <v>24</v>
      </c>
    </row>
    <row r="262" spans="1:8" ht="10.5" customHeight="1" x14ac:dyDescent="0.2">
      <c r="A262" s="45" t="s">
        <v>25</v>
      </c>
    </row>
  </sheetData>
  <mergeCells count="6">
    <mergeCell ref="A5:H5"/>
    <mergeCell ref="D6:F6"/>
    <mergeCell ref="A6:A8"/>
    <mergeCell ref="B6:B8"/>
    <mergeCell ref="C6:C8"/>
    <mergeCell ref="G6:H6"/>
  </mergeCells>
  <pageMargins left="0.19685039370078741" right="0.19685039370078741" top="0.19685039370078741" bottom="0.15748031496062992" header="0.19685039370078741" footer="0.15748031496062992"/>
  <pageSetup paperSize="9" orientation="portrait" r:id="rId1"/>
  <ignoredErrors>
    <ignoredError sqref="D259:H25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1"/>
  <sheetViews>
    <sheetView showGridLines="0" workbookViewId="0">
      <pane ySplit="2620" topLeftCell="A254"/>
      <selection activeCell="G7" sqref="G7"/>
      <selection pane="bottomLeft" activeCell="A8" sqref="A8"/>
    </sheetView>
  </sheetViews>
  <sheetFormatPr baseColWidth="10" defaultRowHeight="15" x14ac:dyDescent="0.2"/>
  <cols>
    <col min="1" max="1" width="13.1640625" customWidth="1"/>
    <col min="2" max="3" width="5" customWidth="1"/>
    <col min="4" max="7" width="15" customWidth="1"/>
  </cols>
  <sheetData>
    <row r="1" spans="1:8" ht="12.75" customHeight="1" x14ac:dyDescent="0.2">
      <c r="A1" s="8"/>
      <c r="B1" s="3"/>
      <c r="C1" s="3"/>
      <c r="E1" s="19" t="s">
        <v>19</v>
      </c>
      <c r="F1" s="19"/>
      <c r="G1" s="19">
        <f>RECAPITULATIF!H5</f>
        <v>0</v>
      </c>
      <c r="H1" s="19"/>
    </row>
    <row r="2" spans="1:8" ht="12.75" customHeight="1" x14ac:dyDescent="0.2">
      <c r="A2" s="8"/>
      <c r="B2" s="3"/>
      <c r="C2" s="3"/>
      <c r="E2" s="19" t="s">
        <v>20</v>
      </c>
      <c r="F2" s="19"/>
      <c r="G2" s="19">
        <f>RECAPITULATIF!F7</f>
        <v>0</v>
      </c>
      <c r="H2" s="19"/>
    </row>
    <row r="3" spans="1:8" x14ac:dyDescent="0.2">
      <c r="E3" s="19" t="s">
        <v>54</v>
      </c>
      <c r="F3" s="19"/>
      <c r="G3">
        <f>RECAPITULATIF!A8</f>
        <v>44197</v>
      </c>
      <c r="H3" s="29" t="s">
        <v>51</v>
      </c>
    </row>
    <row r="5" spans="1:8" ht="16" x14ac:dyDescent="0.2">
      <c r="A5" s="110" t="s">
        <v>49</v>
      </c>
      <c r="B5" s="110"/>
      <c r="C5" s="110"/>
      <c r="D5" s="110"/>
      <c r="E5" s="110"/>
      <c r="F5" s="110"/>
      <c r="G5" s="35" t="s">
        <v>50</v>
      </c>
    </row>
    <row r="6" spans="1:8" ht="31.5" customHeight="1" x14ac:dyDescent="0.2">
      <c r="A6" s="120" t="s">
        <v>8</v>
      </c>
      <c r="B6" s="123" t="s">
        <v>9</v>
      </c>
      <c r="C6" s="126" t="s">
        <v>10</v>
      </c>
      <c r="D6" s="30" t="s">
        <v>45</v>
      </c>
      <c r="E6" s="30" t="s">
        <v>46</v>
      </c>
      <c r="F6" s="31" t="s">
        <v>59</v>
      </c>
      <c r="G6" s="38" t="s">
        <v>60</v>
      </c>
    </row>
    <row r="7" spans="1:8" ht="15" customHeight="1" thickBot="1" x14ac:dyDescent="0.25">
      <c r="A7" s="122"/>
      <c r="B7" s="125"/>
      <c r="C7" s="128"/>
      <c r="D7" s="39">
        <v>22</v>
      </c>
      <c r="E7" s="40">
        <v>23</v>
      </c>
      <c r="F7" s="39">
        <v>24</v>
      </c>
      <c r="G7" s="36">
        <v>25</v>
      </c>
    </row>
    <row r="8" spans="1:8" x14ac:dyDescent="0.2">
      <c r="A8" s="50" t="str">
        <f>IF(ISBLANK(RECAPITULATIF!A18),"",RECAPITULATIF!A18)</f>
        <v/>
      </c>
      <c r="B8" s="50" t="str">
        <f>IF(ISBLANK(RECAPITULATIF!B18),"",RECAPITULATIF!B18)</f>
        <v/>
      </c>
      <c r="C8" s="50" t="str">
        <f>IF(ISBLANK(RECAPITULATIF!C18),"",RECAPITULATIF!C18)</f>
        <v/>
      </c>
      <c r="D8" s="69"/>
      <c r="E8" s="70"/>
      <c r="F8" s="69"/>
      <c r="G8" s="89"/>
    </row>
    <row r="9" spans="1:8" x14ac:dyDescent="0.2">
      <c r="A9" s="50" t="str">
        <f>IF(ISBLANK(RECAPITULATIF!A19),"",RECAPITULATIF!A19)</f>
        <v/>
      </c>
      <c r="B9" s="50" t="str">
        <f>IF(ISBLANK(RECAPITULATIF!B19),"",RECAPITULATIF!B19)</f>
        <v/>
      </c>
      <c r="C9" s="50" t="str">
        <f>IF(ISBLANK(RECAPITULATIF!C19),"",RECAPITULATIF!C19)</f>
        <v/>
      </c>
      <c r="D9" s="69"/>
      <c r="E9" s="70"/>
      <c r="F9" s="69"/>
      <c r="G9" s="89"/>
    </row>
    <row r="10" spans="1:8" x14ac:dyDescent="0.2">
      <c r="A10" s="50" t="str">
        <f>IF(ISBLANK(RECAPITULATIF!A20),"",RECAPITULATIF!A20)</f>
        <v/>
      </c>
      <c r="B10" s="50" t="str">
        <f>IF(ISBLANK(RECAPITULATIF!B20),"",RECAPITULATIF!B20)</f>
        <v/>
      </c>
      <c r="C10" s="50" t="str">
        <f>IF(ISBLANK(RECAPITULATIF!C20),"",RECAPITULATIF!C20)</f>
        <v/>
      </c>
      <c r="D10" s="69"/>
      <c r="E10" s="70"/>
      <c r="F10" s="69"/>
      <c r="G10" s="89"/>
    </row>
    <row r="11" spans="1:8" x14ac:dyDescent="0.2">
      <c r="A11" s="50" t="str">
        <f>IF(ISBLANK(RECAPITULATIF!A21),"",RECAPITULATIF!A21)</f>
        <v/>
      </c>
      <c r="B11" s="50" t="str">
        <f>IF(ISBLANK(RECAPITULATIF!B21),"",RECAPITULATIF!B21)</f>
        <v/>
      </c>
      <c r="C11" s="50" t="str">
        <f>IF(ISBLANK(RECAPITULATIF!C21),"",RECAPITULATIF!C21)</f>
        <v/>
      </c>
      <c r="D11" s="69"/>
      <c r="E11" s="70"/>
      <c r="F11" s="69"/>
      <c r="G11" s="89"/>
    </row>
    <row r="12" spans="1:8" x14ac:dyDescent="0.2">
      <c r="A12" s="50" t="str">
        <f>IF(ISBLANK(RECAPITULATIF!A22),"",RECAPITULATIF!A22)</f>
        <v/>
      </c>
      <c r="B12" s="50" t="str">
        <f>IF(ISBLANK(RECAPITULATIF!B22),"",RECAPITULATIF!B22)</f>
        <v/>
      </c>
      <c r="C12" s="50" t="str">
        <f>IF(ISBLANK(RECAPITULATIF!C22),"",RECAPITULATIF!C22)</f>
        <v/>
      </c>
      <c r="D12" s="69"/>
      <c r="E12" s="70"/>
      <c r="F12" s="69"/>
      <c r="G12" s="89"/>
    </row>
    <row r="13" spans="1:8" x14ac:dyDescent="0.2">
      <c r="A13" s="50" t="str">
        <f>IF(ISBLANK(RECAPITULATIF!A23),"",RECAPITULATIF!A23)</f>
        <v/>
      </c>
      <c r="B13" s="50" t="str">
        <f>IF(ISBLANK(RECAPITULATIF!B23),"",RECAPITULATIF!B23)</f>
        <v/>
      </c>
      <c r="C13" s="50" t="str">
        <f>IF(ISBLANK(RECAPITULATIF!C23),"",RECAPITULATIF!C23)</f>
        <v/>
      </c>
      <c r="D13" s="69"/>
      <c r="E13" s="70"/>
      <c r="F13" s="69"/>
      <c r="G13" s="89"/>
    </row>
    <row r="14" spans="1:8" x14ac:dyDescent="0.2">
      <c r="A14" s="50" t="str">
        <f>IF(ISBLANK(RECAPITULATIF!A24),"",RECAPITULATIF!A24)</f>
        <v/>
      </c>
      <c r="B14" s="50" t="str">
        <f>IF(ISBLANK(RECAPITULATIF!B24),"",RECAPITULATIF!B24)</f>
        <v/>
      </c>
      <c r="C14" s="50" t="str">
        <f>IF(ISBLANK(RECAPITULATIF!C24),"",RECAPITULATIF!C24)</f>
        <v/>
      </c>
      <c r="D14" s="69"/>
      <c r="E14" s="70"/>
      <c r="F14" s="69"/>
      <c r="G14" s="89"/>
    </row>
    <row r="15" spans="1:8" x14ac:dyDescent="0.2">
      <c r="A15" s="50" t="str">
        <f>IF(ISBLANK(RECAPITULATIF!A25),"",RECAPITULATIF!A25)</f>
        <v/>
      </c>
      <c r="B15" s="50" t="str">
        <f>IF(ISBLANK(RECAPITULATIF!B25),"",RECAPITULATIF!B25)</f>
        <v/>
      </c>
      <c r="C15" s="50" t="str">
        <f>IF(ISBLANK(RECAPITULATIF!C25),"",RECAPITULATIF!C25)</f>
        <v/>
      </c>
      <c r="D15" s="69"/>
      <c r="E15" s="70"/>
      <c r="F15" s="69"/>
      <c r="G15" s="89"/>
    </row>
    <row r="16" spans="1:8" x14ac:dyDescent="0.2">
      <c r="A16" s="50" t="str">
        <f>IF(ISBLANK(RECAPITULATIF!A26),"",RECAPITULATIF!A26)</f>
        <v/>
      </c>
      <c r="B16" s="50" t="str">
        <f>IF(ISBLANK(RECAPITULATIF!B26),"",RECAPITULATIF!B26)</f>
        <v/>
      </c>
      <c r="C16" s="50" t="str">
        <f>IF(ISBLANK(RECAPITULATIF!C26),"",RECAPITULATIF!C26)</f>
        <v/>
      </c>
      <c r="D16" s="69"/>
      <c r="E16" s="70"/>
      <c r="F16" s="69"/>
      <c r="G16" s="89"/>
    </row>
    <row r="17" spans="1:7" x14ac:dyDescent="0.2">
      <c r="A17" s="50" t="str">
        <f>IF(ISBLANK(RECAPITULATIF!A27),"",RECAPITULATIF!A27)</f>
        <v/>
      </c>
      <c r="B17" s="50" t="str">
        <f>IF(ISBLANK(RECAPITULATIF!B27),"",RECAPITULATIF!B27)</f>
        <v/>
      </c>
      <c r="C17" s="50" t="str">
        <f>IF(ISBLANK(RECAPITULATIF!C27),"",RECAPITULATIF!C27)</f>
        <v/>
      </c>
      <c r="D17" s="69"/>
      <c r="E17" s="70"/>
      <c r="F17" s="69"/>
      <c r="G17" s="89"/>
    </row>
    <row r="18" spans="1:7" x14ac:dyDescent="0.2">
      <c r="A18" s="50" t="str">
        <f>IF(ISBLANK(RECAPITULATIF!A28),"",RECAPITULATIF!A28)</f>
        <v/>
      </c>
      <c r="B18" s="50" t="str">
        <f>IF(ISBLANK(RECAPITULATIF!B28),"",RECAPITULATIF!B28)</f>
        <v/>
      </c>
      <c r="C18" s="50" t="str">
        <f>IF(ISBLANK(RECAPITULATIF!C28),"",RECAPITULATIF!C28)</f>
        <v/>
      </c>
      <c r="D18" s="69"/>
      <c r="E18" s="70"/>
      <c r="F18" s="69"/>
      <c r="G18" s="89"/>
    </row>
    <row r="19" spans="1:7" x14ac:dyDescent="0.2">
      <c r="A19" s="50" t="str">
        <f>IF(ISBLANK(RECAPITULATIF!A29),"",RECAPITULATIF!A29)</f>
        <v/>
      </c>
      <c r="B19" s="50" t="str">
        <f>IF(ISBLANK(RECAPITULATIF!B29),"",RECAPITULATIF!B29)</f>
        <v/>
      </c>
      <c r="C19" s="50" t="str">
        <f>IF(ISBLANK(RECAPITULATIF!C29),"",RECAPITULATIF!C29)</f>
        <v/>
      </c>
      <c r="D19" s="69"/>
      <c r="E19" s="70"/>
      <c r="F19" s="69"/>
      <c r="G19" s="89"/>
    </row>
    <row r="20" spans="1:7" x14ac:dyDescent="0.2">
      <c r="A20" s="50" t="str">
        <f>IF(ISBLANK(RECAPITULATIF!A30),"",RECAPITULATIF!A30)</f>
        <v/>
      </c>
      <c r="B20" s="50" t="str">
        <f>IF(ISBLANK(RECAPITULATIF!B30),"",RECAPITULATIF!B30)</f>
        <v/>
      </c>
      <c r="C20" s="50" t="str">
        <f>IF(ISBLANK(RECAPITULATIF!C30),"",RECAPITULATIF!C30)</f>
        <v/>
      </c>
      <c r="D20" s="69"/>
      <c r="E20" s="70"/>
      <c r="F20" s="69"/>
      <c r="G20" s="89"/>
    </row>
    <row r="21" spans="1:7" x14ac:dyDescent="0.2">
      <c r="A21" s="50" t="str">
        <f>IF(ISBLANK(RECAPITULATIF!A31),"",RECAPITULATIF!A31)</f>
        <v/>
      </c>
      <c r="B21" s="50" t="str">
        <f>IF(ISBLANK(RECAPITULATIF!B31),"",RECAPITULATIF!B31)</f>
        <v/>
      </c>
      <c r="C21" s="50" t="str">
        <f>IF(ISBLANK(RECAPITULATIF!C31),"",RECAPITULATIF!C31)</f>
        <v/>
      </c>
      <c r="D21" s="69"/>
      <c r="E21" s="70"/>
      <c r="F21" s="69"/>
      <c r="G21" s="89"/>
    </row>
    <row r="22" spans="1:7" x14ac:dyDescent="0.2">
      <c r="A22" s="50" t="str">
        <f>IF(ISBLANK(RECAPITULATIF!A32),"",RECAPITULATIF!A32)</f>
        <v/>
      </c>
      <c r="B22" s="50" t="str">
        <f>IF(ISBLANK(RECAPITULATIF!B32),"",RECAPITULATIF!B32)</f>
        <v/>
      </c>
      <c r="C22" s="50" t="str">
        <f>IF(ISBLANK(RECAPITULATIF!C32),"",RECAPITULATIF!C32)</f>
        <v/>
      </c>
      <c r="D22" s="69"/>
      <c r="E22" s="70"/>
      <c r="F22" s="69"/>
      <c r="G22" s="89"/>
    </row>
    <row r="23" spans="1:7" x14ac:dyDescent="0.2">
      <c r="A23" s="50" t="str">
        <f>IF(ISBLANK(RECAPITULATIF!A33),"",RECAPITULATIF!A33)</f>
        <v/>
      </c>
      <c r="B23" s="50" t="str">
        <f>IF(ISBLANK(RECAPITULATIF!B33),"",RECAPITULATIF!B33)</f>
        <v/>
      </c>
      <c r="C23" s="50" t="str">
        <f>IF(ISBLANK(RECAPITULATIF!C33),"",RECAPITULATIF!C33)</f>
        <v/>
      </c>
      <c r="D23" s="69"/>
      <c r="E23" s="70"/>
      <c r="F23" s="69"/>
      <c r="G23" s="89"/>
    </row>
    <row r="24" spans="1:7" x14ac:dyDescent="0.2">
      <c r="A24" s="50" t="str">
        <f>IF(ISBLANK(RECAPITULATIF!A34),"",RECAPITULATIF!A34)</f>
        <v/>
      </c>
      <c r="B24" s="50" t="str">
        <f>IF(ISBLANK(RECAPITULATIF!B34),"",RECAPITULATIF!B34)</f>
        <v/>
      </c>
      <c r="C24" s="50" t="str">
        <f>IF(ISBLANK(RECAPITULATIF!C34),"",RECAPITULATIF!C34)</f>
        <v/>
      </c>
      <c r="D24" s="69"/>
      <c r="E24" s="70"/>
      <c r="F24" s="69"/>
      <c r="G24" s="89"/>
    </row>
    <row r="25" spans="1:7" x14ac:dyDescent="0.2">
      <c r="A25" s="50" t="str">
        <f>IF(ISBLANK(RECAPITULATIF!A35),"",RECAPITULATIF!A35)</f>
        <v/>
      </c>
      <c r="B25" s="50" t="str">
        <f>IF(ISBLANK(RECAPITULATIF!B35),"",RECAPITULATIF!B35)</f>
        <v/>
      </c>
      <c r="C25" s="50" t="str">
        <f>IF(ISBLANK(RECAPITULATIF!C35),"",RECAPITULATIF!C35)</f>
        <v/>
      </c>
      <c r="D25" s="69"/>
      <c r="E25" s="70"/>
      <c r="F25" s="69"/>
      <c r="G25" s="89"/>
    </row>
    <row r="26" spans="1:7" x14ac:dyDescent="0.2">
      <c r="A26" s="50" t="str">
        <f>IF(ISBLANK(RECAPITULATIF!A36),"",RECAPITULATIF!A36)</f>
        <v/>
      </c>
      <c r="B26" s="50" t="str">
        <f>IF(ISBLANK(RECAPITULATIF!B36),"",RECAPITULATIF!B36)</f>
        <v/>
      </c>
      <c r="C26" s="50" t="str">
        <f>IF(ISBLANK(RECAPITULATIF!C36),"",RECAPITULATIF!C36)</f>
        <v/>
      </c>
      <c r="D26" s="69"/>
      <c r="E26" s="70"/>
      <c r="F26" s="69"/>
      <c r="G26" s="89"/>
    </row>
    <row r="27" spans="1:7" x14ac:dyDescent="0.2">
      <c r="A27" s="50" t="str">
        <f>IF(ISBLANK(RECAPITULATIF!A37),"",RECAPITULATIF!A37)</f>
        <v/>
      </c>
      <c r="B27" s="50" t="str">
        <f>IF(ISBLANK(RECAPITULATIF!B37),"",RECAPITULATIF!B37)</f>
        <v/>
      </c>
      <c r="C27" s="50" t="str">
        <f>IF(ISBLANK(RECAPITULATIF!C37),"",RECAPITULATIF!C37)</f>
        <v/>
      </c>
      <c r="D27" s="69"/>
      <c r="E27" s="70"/>
      <c r="F27" s="69"/>
      <c r="G27" s="89"/>
    </row>
    <row r="28" spans="1:7" x14ac:dyDescent="0.2">
      <c r="A28" s="50" t="str">
        <f>IF(ISBLANK(RECAPITULATIF!A38),"",RECAPITULATIF!A38)</f>
        <v/>
      </c>
      <c r="B28" s="50" t="str">
        <f>IF(ISBLANK(RECAPITULATIF!B38),"",RECAPITULATIF!B38)</f>
        <v/>
      </c>
      <c r="C28" s="50" t="str">
        <f>IF(ISBLANK(RECAPITULATIF!C38),"",RECAPITULATIF!C38)</f>
        <v/>
      </c>
      <c r="D28" s="69"/>
      <c r="E28" s="70"/>
      <c r="F28" s="69"/>
      <c r="G28" s="89"/>
    </row>
    <row r="29" spans="1:7" x14ac:dyDescent="0.2">
      <c r="A29" s="50" t="str">
        <f>IF(ISBLANK(RECAPITULATIF!A39),"",RECAPITULATIF!A39)</f>
        <v/>
      </c>
      <c r="B29" s="50" t="str">
        <f>IF(ISBLANK(RECAPITULATIF!B39),"",RECAPITULATIF!B39)</f>
        <v/>
      </c>
      <c r="C29" s="50" t="str">
        <f>IF(ISBLANK(RECAPITULATIF!C39),"",RECAPITULATIF!C39)</f>
        <v/>
      </c>
      <c r="D29" s="69"/>
      <c r="E29" s="70"/>
      <c r="F29" s="69"/>
      <c r="G29" s="89"/>
    </row>
    <row r="30" spans="1:7" x14ac:dyDescent="0.2">
      <c r="A30" s="50" t="str">
        <f>IF(ISBLANK(RECAPITULATIF!A40),"",RECAPITULATIF!A40)</f>
        <v/>
      </c>
      <c r="B30" s="50" t="str">
        <f>IF(ISBLANK(RECAPITULATIF!B40),"",RECAPITULATIF!B40)</f>
        <v/>
      </c>
      <c r="C30" s="50" t="str">
        <f>IF(ISBLANK(RECAPITULATIF!C40),"",RECAPITULATIF!C40)</f>
        <v/>
      </c>
      <c r="D30" s="69"/>
      <c r="E30" s="70"/>
      <c r="F30" s="69"/>
      <c r="G30" s="89"/>
    </row>
    <row r="31" spans="1:7" x14ac:dyDescent="0.2">
      <c r="A31" s="50" t="str">
        <f>IF(ISBLANK(RECAPITULATIF!A41),"",RECAPITULATIF!A41)</f>
        <v/>
      </c>
      <c r="B31" s="50" t="str">
        <f>IF(ISBLANK(RECAPITULATIF!B41),"",RECAPITULATIF!B41)</f>
        <v/>
      </c>
      <c r="C31" s="50" t="str">
        <f>IF(ISBLANK(RECAPITULATIF!C41),"",RECAPITULATIF!C41)</f>
        <v/>
      </c>
      <c r="D31" s="69"/>
      <c r="E31" s="70"/>
      <c r="F31" s="69"/>
      <c r="G31" s="89"/>
    </row>
    <row r="32" spans="1:7" x14ac:dyDescent="0.2">
      <c r="A32" s="50" t="str">
        <f>IF(ISBLANK(RECAPITULATIF!A42),"",RECAPITULATIF!A42)</f>
        <v/>
      </c>
      <c r="B32" s="50" t="str">
        <f>IF(ISBLANK(RECAPITULATIF!B42),"",RECAPITULATIF!B42)</f>
        <v/>
      </c>
      <c r="C32" s="50" t="str">
        <f>IF(ISBLANK(RECAPITULATIF!C42),"",RECAPITULATIF!C42)</f>
        <v/>
      </c>
      <c r="D32" s="69"/>
      <c r="E32" s="70"/>
      <c r="F32" s="69"/>
      <c r="G32" s="89"/>
    </row>
    <row r="33" spans="1:7" x14ac:dyDescent="0.2">
      <c r="A33" s="50" t="str">
        <f>IF(ISBLANK(RECAPITULATIF!A43),"",RECAPITULATIF!A43)</f>
        <v/>
      </c>
      <c r="B33" s="50" t="str">
        <f>IF(ISBLANK(RECAPITULATIF!B43),"",RECAPITULATIF!B43)</f>
        <v/>
      </c>
      <c r="C33" s="50" t="str">
        <f>IF(ISBLANK(RECAPITULATIF!C43),"",RECAPITULATIF!C43)</f>
        <v/>
      </c>
      <c r="D33" s="69"/>
      <c r="E33" s="70"/>
      <c r="F33" s="69"/>
      <c r="G33" s="89"/>
    </row>
    <row r="34" spans="1:7" x14ac:dyDescent="0.2">
      <c r="A34" s="50" t="str">
        <f>IF(ISBLANK(RECAPITULATIF!A44),"",RECAPITULATIF!A44)</f>
        <v/>
      </c>
      <c r="B34" s="50" t="str">
        <f>IF(ISBLANK(RECAPITULATIF!B44),"",RECAPITULATIF!B44)</f>
        <v/>
      </c>
      <c r="C34" s="50" t="str">
        <f>IF(ISBLANK(RECAPITULATIF!C44),"",RECAPITULATIF!C44)</f>
        <v/>
      </c>
      <c r="D34" s="69"/>
      <c r="E34" s="70"/>
      <c r="F34" s="69"/>
      <c r="G34" s="89"/>
    </row>
    <row r="35" spans="1:7" x14ac:dyDescent="0.2">
      <c r="A35" s="50" t="str">
        <f>IF(ISBLANK(RECAPITULATIF!A45),"",RECAPITULATIF!A45)</f>
        <v/>
      </c>
      <c r="B35" s="50" t="str">
        <f>IF(ISBLANK(RECAPITULATIF!B45),"",RECAPITULATIF!B45)</f>
        <v/>
      </c>
      <c r="C35" s="50" t="str">
        <f>IF(ISBLANK(RECAPITULATIF!C45),"",RECAPITULATIF!C45)</f>
        <v/>
      </c>
      <c r="D35" s="69"/>
      <c r="E35" s="70"/>
      <c r="F35" s="69"/>
      <c r="G35" s="89"/>
    </row>
    <row r="36" spans="1:7" x14ac:dyDescent="0.2">
      <c r="A36" s="50" t="str">
        <f>IF(ISBLANK(RECAPITULATIF!A46),"",RECAPITULATIF!A46)</f>
        <v/>
      </c>
      <c r="B36" s="50" t="str">
        <f>IF(ISBLANK(RECAPITULATIF!B46),"",RECAPITULATIF!B46)</f>
        <v/>
      </c>
      <c r="C36" s="50" t="str">
        <f>IF(ISBLANK(RECAPITULATIF!C46),"",RECAPITULATIF!C46)</f>
        <v/>
      </c>
      <c r="D36" s="69"/>
      <c r="E36" s="70"/>
      <c r="F36" s="69"/>
      <c r="G36" s="89"/>
    </row>
    <row r="37" spans="1:7" x14ac:dyDescent="0.2">
      <c r="A37" s="50" t="str">
        <f>IF(ISBLANK(RECAPITULATIF!A47),"",RECAPITULATIF!A47)</f>
        <v/>
      </c>
      <c r="B37" s="50" t="str">
        <f>IF(ISBLANK(RECAPITULATIF!B47),"",RECAPITULATIF!B47)</f>
        <v/>
      </c>
      <c r="C37" s="50" t="str">
        <f>IF(ISBLANK(RECAPITULATIF!C47),"",RECAPITULATIF!C47)</f>
        <v/>
      </c>
      <c r="D37" s="69"/>
      <c r="E37" s="70"/>
      <c r="F37" s="69"/>
      <c r="G37" s="89"/>
    </row>
    <row r="38" spans="1:7" x14ac:dyDescent="0.2">
      <c r="A38" s="50" t="str">
        <f>IF(ISBLANK(RECAPITULATIF!A48),"",RECAPITULATIF!A48)</f>
        <v/>
      </c>
      <c r="B38" s="50" t="str">
        <f>IF(ISBLANK(RECAPITULATIF!B48),"",RECAPITULATIF!B48)</f>
        <v/>
      </c>
      <c r="C38" s="50" t="str">
        <f>IF(ISBLANK(RECAPITULATIF!C48),"",RECAPITULATIF!C48)</f>
        <v/>
      </c>
      <c r="D38" s="69"/>
      <c r="E38" s="70"/>
      <c r="F38" s="69"/>
      <c r="G38" s="89"/>
    </row>
    <row r="39" spans="1:7" x14ac:dyDescent="0.2">
      <c r="A39" s="50" t="str">
        <f>IF(ISBLANK(RECAPITULATIF!A49),"",RECAPITULATIF!A49)</f>
        <v/>
      </c>
      <c r="B39" s="50" t="str">
        <f>IF(ISBLANK(RECAPITULATIF!B49),"",RECAPITULATIF!B49)</f>
        <v/>
      </c>
      <c r="C39" s="50" t="str">
        <f>IF(ISBLANK(RECAPITULATIF!C49),"",RECAPITULATIF!C49)</f>
        <v/>
      </c>
      <c r="D39" s="69"/>
      <c r="E39" s="70"/>
      <c r="F39" s="69"/>
      <c r="G39" s="89"/>
    </row>
    <row r="40" spans="1:7" x14ac:dyDescent="0.2">
      <c r="A40" s="50" t="str">
        <f>IF(ISBLANK(RECAPITULATIF!A50),"",RECAPITULATIF!A50)</f>
        <v/>
      </c>
      <c r="B40" s="50" t="str">
        <f>IF(ISBLANK(RECAPITULATIF!B50),"",RECAPITULATIF!B50)</f>
        <v/>
      </c>
      <c r="C40" s="50" t="str">
        <f>IF(ISBLANK(RECAPITULATIF!C50),"",RECAPITULATIF!C50)</f>
        <v/>
      </c>
      <c r="D40" s="69"/>
      <c r="E40" s="70"/>
      <c r="F40" s="69"/>
      <c r="G40" s="89"/>
    </row>
    <row r="41" spans="1:7" x14ac:dyDescent="0.2">
      <c r="A41" s="50" t="str">
        <f>IF(ISBLANK(RECAPITULATIF!A51),"",RECAPITULATIF!A51)</f>
        <v/>
      </c>
      <c r="B41" s="50" t="str">
        <f>IF(ISBLANK(RECAPITULATIF!B51),"",RECAPITULATIF!B51)</f>
        <v/>
      </c>
      <c r="C41" s="50" t="str">
        <f>IF(ISBLANK(RECAPITULATIF!C51),"",RECAPITULATIF!C51)</f>
        <v/>
      </c>
      <c r="D41" s="69"/>
      <c r="E41" s="70"/>
      <c r="F41" s="69"/>
      <c r="G41" s="89"/>
    </row>
    <row r="42" spans="1:7" x14ac:dyDescent="0.2">
      <c r="A42" s="50" t="str">
        <f>IF(ISBLANK(RECAPITULATIF!A52),"",RECAPITULATIF!A52)</f>
        <v/>
      </c>
      <c r="B42" s="50" t="str">
        <f>IF(ISBLANK(RECAPITULATIF!B52),"",RECAPITULATIF!B52)</f>
        <v/>
      </c>
      <c r="C42" s="50" t="str">
        <f>IF(ISBLANK(RECAPITULATIF!C52),"",RECAPITULATIF!C52)</f>
        <v/>
      </c>
      <c r="D42" s="69"/>
      <c r="E42" s="70"/>
      <c r="F42" s="69"/>
      <c r="G42" s="89"/>
    </row>
    <row r="43" spans="1:7" x14ac:dyDescent="0.2">
      <c r="A43" s="50" t="str">
        <f>IF(ISBLANK(RECAPITULATIF!A53),"",RECAPITULATIF!A53)</f>
        <v/>
      </c>
      <c r="B43" s="50" t="str">
        <f>IF(ISBLANK(RECAPITULATIF!B53),"",RECAPITULATIF!B53)</f>
        <v/>
      </c>
      <c r="C43" s="50" t="str">
        <f>IF(ISBLANK(RECAPITULATIF!C53),"",RECAPITULATIF!C53)</f>
        <v/>
      </c>
      <c r="D43" s="69"/>
      <c r="E43" s="70"/>
      <c r="F43" s="69"/>
      <c r="G43" s="89"/>
    </row>
    <row r="44" spans="1:7" x14ac:dyDescent="0.2">
      <c r="A44" s="50" t="str">
        <f>IF(ISBLANK(RECAPITULATIF!A54),"",RECAPITULATIF!A54)</f>
        <v/>
      </c>
      <c r="B44" s="50" t="str">
        <f>IF(ISBLANK(RECAPITULATIF!B54),"",RECAPITULATIF!B54)</f>
        <v/>
      </c>
      <c r="C44" s="50" t="str">
        <f>IF(ISBLANK(RECAPITULATIF!C54),"",RECAPITULATIF!C54)</f>
        <v/>
      </c>
      <c r="D44" s="69"/>
      <c r="E44" s="70"/>
      <c r="F44" s="69"/>
      <c r="G44" s="89"/>
    </row>
    <row r="45" spans="1:7" x14ac:dyDescent="0.2">
      <c r="A45" s="50" t="str">
        <f>IF(ISBLANK(RECAPITULATIF!A55),"",RECAPITULATIF!A55)</f>
        <v/>
      </c>
      <c r="B45" s="50" t="str">
        <f>IF(ISBLANK(RECAPITULATIF!B55),"",RECAPITULATIF!B55)</f>
        <v/>
      </c>
      <c r="C45" s="50" t="str">
        <f>IF(ISBLANK(RECAPITULATIF!C55),"",RECAPITULATIF!C55)</f>
        <v/>
      </c>
      <c r="D45" s="69"/>
      <c r="E45" s="70"/>
      <c r="F45" s="69"/>
      <c r="G45" s="89"/>
    </row>
    <row r="46" spans="1:7" x14ac:dyDescent="0.2">
      <c r="A46" s="50" t="str">
        <f>IF(ISBLANK(RECAPITULATIF!A56),"",RECAPITULATIF!A56)</f>
        <v/>
      </c>
      <c r="B46" s="50" t="str">
        <f>IF(ISBLANK(RECAPITULATIF!B56),"",RECAPITULATIF!B56)</f>
        <v/>
      </c>
      <c r="C46" s="50" t="str">
        <f>IF(ISBLANK(RECAPITULATIF!C56),"",RECAPITULATIF!C56)</f>
        <v/>
      </c>
      <c r="D46" s="69"/>
      <c r="E46" s="70"/>
      <c r="F46" s="69"/>
      <c r="G46" s="89"/>
    </row>
    <row r="47" spans="1:7" x14ac:dyDescent="0.2">
      <c r="A47" s="50" t="str">
        <f>IF(ISBLANK(RECAPITULATIF!A57),"",RECAPITULATIF!A57)</f>
        <v/>
      </c>
      <c r="B47" s="50" t="str">
        <f>IF(ISBLANK(RECAPITULATIF!B57),"",RECAPITULATIF!B57)</f>
        <v/>
      </c>
      <c r="C47" s="50" t="str">
        <f>IF(ISBLANK(RECAPITULATIF!C57),"",RECAPITULATIF!C57)</f>
        <v/>
      </c>
      <c r="D47" s="69"/>
      <c r="E47" s="70"/>
      <c r="F47" s="69"/>
      <c r="G47" s="89"/>
    </row>
    <row r="48" spans="1:7" x14ac:dyDescent="0.2">
      <c r="A48" s="50" t="str">
        <f>IF(ISBLANK(RECAPITULATIF!A58),"",RECAPITULATIF!A58)</f>
        <v/>
      </c>
      <c r="B48" s="50" t="str">
        <f>IF(ISBLANK(RECAPITULATIF!B58),"",RECAPITULATIF!B58)</f>
        <v/>
      </c>
      <c r="C48" s="50" t="str">
        <f>IF(ISBLANK(RECAPITULATIF!C58),"",RECAPITULATIF!C58)</f>
        <v/>
      </c>
      <c r="D48" s="69"/>
      <c r="E48" s="70"/>
      <c r="F48" s="69"/>
      <c r="G48" s="89"/>
    </row>
    <row r="49" spans="1:7" x14ac:dyDescent="0.2">
      <c r="A49" s="50" t="str">
        <f>IF(ISBLANK(RECAPITULATIF!A59),"",RECAPITULATIF!A59)</f>
        <v/>
      </c>
      <c r="B49" s="50" t="str">
        <f>IF(ISBLANK(RECAPITULATIF!B59),"",RECAPITULATIF!B59)</f>
        <v/>
      </c>
      <c r="C49" s="50" t="str">
        <f>IF(ISBLANK(RECAPITULATIF!C59),"",RECAPITULATIF!C59)</f>
        <v/>
      </c>
      <c r="D49" s="69"/>
      <c r="E49" s="70"/>
      <c r="F49" s="69"/>
      <c r="G49" s="89"/>
    </row>
    <row r="50" spans="1:7" x14ac:dyDescent="0.2">
      <c r="A50" s="50" t="str">
        <f>IF(ISBLANK(RECAPITULATIF!A60),"",RECAPITULATIF!A60)</f>
        <v/>
      </c>
      <c r="B50" s="50" t="str">
        <f>IF(ISBLANK(RECAPITULATIF!B60),"",RECAPITULATIF!B60)</f>
        <v/>
      </c>
      <c r="C50" s="50" t="str">
        <f>IF(ISBLANK(RECAPITULATIF!C60),"",RECAPITULATIF!C60)</f>
        <v/>
      </c>
      <c r="D50" s="69"/>
      <c r="E50" s="70"/>
      <c r="F50" s="69"/>
      <c r="G50" s="89"/>
    </row>
    <row r="51" spans="1:7" x14ac:dyDescent="0.2">
      <c r="A51" s="50" t="str">
        <f>IF(ISBLANK(RECAPITULATIF!A61),"",RECAPITULATIF!A61)</f>
        <v/>
      </c>
      <c r="B51" s="50" t="str">
        <f>IF(ISBLANK(RECAPITULATIF!B61),"",RECAPITULATIF!B61)</f>
        <v/>
      </c>
      <c r="C51" s="50" t="str">
        <f>IF(ISBLANK(RECAPITULATIF!C61),"",RECAPITULATIF!C61)</f>
        <v/>
      </c>
      <c r="D51" s="69"/>
      <c r="E51" s="70"/>
      <c r="F51" s="69"/>
      <c r="G51" s="89"/>
    </row>
    <row r="52" spans="1:7" x14ac:dyDescent="0.2">
      <c r="A52" s="50" t="str">
        <f>IF(ISBLANK(RECAPITULATIF!A62),"",RECAPITULATIF!A62)</f>
        <v/>
      </c>
      <c r="B52" s="50" t="str">
        <f>IF(ISBLANK(RECAPITULATIF!B62),"",RECAPITULATIF!B62)</f>
        <v/>
      </c>
      <c r="C52" s="50" t="str">
        <f>IF(ISBLANK(RECAPITULATIF!C62),"",RECAPITULATIF!C62)</f>
        <v/>
      </c>
      <c r="D52" s="69"/>
      <c r="E52" s="70"/>
      <c r="F52" s="69"/>
      <c r="G52" s="89"/>
    </row>
    <row r="53" spans="1:7" x14ac:dyDescent="0.2">
      <c r="A53" s="50" t="str">
        <f>IF(ISBLANK(RECAPITULATIF!A63),"",RECAPITULATIF!A63)</f>
        <v/>
      </c>
      <c r="B53" s="50" t="str">
        <f>IF(ISBLANK(RECAPITULATIF!B63),"",RECAPITULATIF!B63)</f>
        <v/>
      </c>
      <c r="C53" s="50" t="str">
        <f>IF(ISBLANK(RECAPITULATIF!C63),"",RECAPITULATIF!C63)</f>
        <v/>
      </c>
      <c r="D53" s="69"/>
      <c r="E53" s="70"/>
      <c r="F53" s="69"/>
      <c r="G53" s="89"/>
    </row>
    <row r="54" spans="1:7" x14ac:dyDescent="0.2">
      <c r="A54" s="50" t="str">
        <f>IF(ISBLANK(RECAPITULATIF!A64),"",RECAPITULATIF!A64)</f>
        <v/>
      </c>
      <c r="B54" s="50" t="str">
        <f>IF(ISBLANK(RECAPITULATIF!B64),"",RECAPITULATIF!B64)</f>
        <v/>
      </c>
      <c r="C54" s="50" t="str">
        <f>IF(ISBLANK(RECAPITULATIF!C64),"",RECAPITULATIF!C64)</f>
        <v/>
      </c>
      <c r="D54" s="69"/>
      <c r="E54" s="70"/>
      <c r="F54" s="69"/>
      <c r="G54" s="89"/>
    </row>
    <row r="55" spans="1:7" x14ac:dyDescent="0.2">
      <c r="A55" s="50" t="str">
        <f>IF(ISBLANK(RECAPITULATIF!A65),"",RECAPITULATIF!A65)</f>
        <v/>
      </c>
      <c r="B55" s="50" t="str">
        <f>IF(ISBLANK(RECAPITULATIF!B65),"",RECAPITULATIF!B65)</f>
        <v/>
      </c>
      <c r="C55" s="50" t="str">
        <f>IF(ISBLANK(RECAPITULATIF!C65),"",RECAPITULATIF!C65)</f>
        <v/>
      </c>
      <c r="D55" s="69"/>
      <c r="E55" s="70"/>
      <c r="F55" s="69"/>
      <c r="G55" s="89"/>
    </row>
    <row r="56" spans="1:7" x14ac:dyDescent="0.2">
      <c r="A56" s="50" t="str">
        <f>IF(ISBLANK(RECAPITULATIF!A66),"",RECAPITULATIF!A66)</f>
        <v/>
      </c>
      <c r="B56" s="50" t="str">
        <f>IF(ISBLANK(RECAPITULATIF!B66),"",RECAPITULATIF!B66)</f>
        <v/>
      </c>
      <c r="C56" s="50" t="str">
        <f>IF(ISBLANK(RECAPITULATIF!C66),"",RECAPITULATIF!C66)</f>
        <v/>
      </c>
      <c r="D56" s="69"/>
      <c r="E56" s="70"/>
      <c r="F56" s="69"/>
      <c r="G56" s="89"/>
    </row>
    <row r="57" spans="1:7" x14ac:dyDescent="0.2">
      <c r="A57" s="50" t="str">
        <f>IF(ISBLANK(RECAPITULATIF!A67),"",RECAPITULATIF!A67)</f>
        <v/>
      </c>
      <c r="B57" s="50" t="str">
        <f>IF(ISBLANK(RECAPITULATIF!B67),"",RECAPITULATIF!B67)</f>
        <v/>
      </c>
      <c r="C57" s="50" t="str">
        <f>IF(ISBLANK(RECAPITULATIF!C67),"",RECAPITULATIF!C67)</f>
        <v/>
      </c>
      <c r="D57" s="69"/>
      <c r="E57" s="70"/>
      <c r="F57" s="69"/>
      <c r="G57" s="89"/>
    </row>
    <row r="58" spans="1:7" x14ac:dyDescent="0.2">
      <c r="A58" s="50" t="str">
        <f>IF(ISBLANK(RECAPITULATIF!A68),"",RECAPITULATIF!A68)</f>
        <v/>
      </c>
      <c r="B58" s="50" t="str">
        <f>IF(ISBLANK(RECAPITULATIF!B68),"",RECAPITULATIF!B68)</f>
        <v/>
      </c>
      <c r="C58" s="50" t="str">
        <f>IF(ISBLANK(RECAPITULATIF!C68),"",RECAPITULATIF!C68)</f>
        <v/>
      </c>
      <c r="D58" s="69"/>
      <c r="E58" s="70"/>
      <c r="F58" s="69"/>
      <c r="G58" s="89"/>
    </row>
    <row r="59" spans="1:7" x14ac:dyDescent="0.2">
      <c r="A59" s="50" t="str">
        <f>IF(ISBLANK(RECAPITULATIF!A69),"",RECAPITULATIF!A69)</f>
        <v/>
      </c>
      <c r="B59" s="50" t="str">
        <f>IF(ISBLANK(RECAPITULATIF!B69),"",RECAPITULATIF!B69)</f>
        <v/>
      </c>
      <c r="C59" s="50" t="str">
        <f>IF(ISBLANK(RECAPITULATIF!C69),"",RECAPITULATIF!C69)</f>
        <v/>
      </c>
      <c r="D59" s="69"/>
      <c r="E59" s="70"/>
      <c r="F59" s="69"/>
      <c r="G59" s="89"/>
    </row>
    <row r="60" spans="1:7" x14ac:dyDescent="0.2">
      <c r="A60" s="50" t="str">
        <f>IF(ISBLANK(RECAPITULATIF!A70),"",RECAPITULATIF!A70)</f>
        <v/>
      </c>
      <c r="B60" s="50" t="str">
        <f>IF(ISBLANK(RECAPITULATIF!B70),"",RECAPITULATIF!B70)</f>
        <v/>
      </c>
      <c r="C60" s="50" t="str">
        <f>IF(ISBLANK(RECAPITULATIF!C70),"",RECAPITULATIF!C70)</f>
        <v/>
      </c>
      <c r="D60" s="69"/>
      <c r="E60" s="70"/>
      <c r="F60" s="69"/>
      <c r="G60" s="89"/>
    </row>
    <row r="61" spans="1:7" x14ac:dyDescent="0.2">
      <c r="A61" s="50" t="str">
        <f>IF(ISBLANK(RECAPITULATIF!A71),"",RECAPITULATIF!A71)</f>
        <v/>
      </c>
      <c r="B61" s="50" t="str">
        <f>IF(ISBLANK(RECAPITULATIF!B71),"",RECAPITULATIF!B71)</f>
        <v/>
      </c>
      <c r="C61" s="50" t="str">
        <f>IF(ISBLANK(RECAPITULATIF!C71),"",RECAPITULATIF!C71)</f>
        <v/>
      </c>
      <c r="D61" s="69"/>
      <c r="E61" s="70"/>
      <c r="F61" s="69"/>
      <c r="G61" s="89"/>
    </row>
    <row r="62" spans="1:7" x14ac:dyDescent="0.2">
      <c r="A62" s="50" t="str">
        <f>IF(ISBLANK(RECAPITULATIF!A72),"",RECAPITULATIF!A72)</f>
        <v/>
      </c>
      <c r="B62" s="50" t="str">
        <f>IF(ISBLANK(RECAPITULATIF!B72),"",RECAPITULATIF!B72)</f>
        <v/>
      </c>
      <c r="C62" s="50" t="str">
        <f>IF(ISBLANK(RECAPITULATIF!C72),"",RECAPITULATIF!C72)</f>
        <v/>
      </c>
      <c r="D62" s="69"/>
      <c r="E62" s="70"/>
      <c r="F62" s="69"/>
      <c r="G62" s="89"/>
    </row>
    <row r="63" spans="1:7" x14ac:dyDescent="0.2">
      <c r="A63" s="50" t="str">
        <f>IF(ISBLANK(RECAPITULATIF!A73),"",RECAPITULATIF!A73)</f>
        <v/>
      </c>
      <c r="B63" s="50" t="str">
        <f>IF(ISBLANK(RECAPITULATIF!B73),"",RECAPITULATIF!B73)</f>
        <v/>
      </c>
      <c r="C63" s="50" t="str">
        <f>IF(ISBLANK(RECAPITULATIF!C73),"",RECAPITULATIF!C73)</f>
        <v/>
      </c>
      <c r="D63" s="69"/>
      <c r="E63" s="70"/>
      <c r="F63" s="69"/>
      <c r="G63" s="89"/>
    </row>
    <row r="64" spans="1:7" x14ac:dyDescent="0.2">
      <c r="A64" s="50" t="str">
        <f>IF(ISBLANK(RECAPITULATIF!A74),"",RECAPITULATIF!A74)</f>
        <v/>
      </c>
      <c r="B64" s="50" t="str">
        <f>IF(ISBLANK(RECAPITULATIF!B74),"",RECAPITULATIF!B74)</f>
        <v/>
      </c>
      <c r="C64" s="50" t="str">
        <f>IF(ISBLANK(RECAPITULATIF!C74),"",RECAPITULATIF!C74)</f>
        <v/>
      </c>
      <c r="D64" s="69"/>
      <c r="E64" s="70"/>
      <c r="F64" s="69"/>
      <c r="G64" s="89"/>
    </row>
    <row r="65" spans="1:7" x14ac:dyDescent="0.2">
      <c r="A65" s="50" t="str">
        <f>IF(ISBLANK(RECAPITULATIF!A75),"",RECAPITULATIF!A75)</f>
        <v/>
      </c>
      <c r="B65" s="50" t="str">
        <f>IF(ISBLANK(RECAPITULATIF!B75),"",RECAPITULATIF!B75)</f>
        <v/>
      </c>
      <c r="C65" s="50" t="str">
        <f>IF(ISBLANK(RECAPITULATIF!C75),"",RECAPITULATIF!C75)</f>
        <v/>
      </c>
      <c r="D65" s="69"/>
      <c r="E65" s="70"/>
      <c r="F65" s="69"/>
      <c r="G65" s="89"/>
    </row>
    <row r="66" spans="1:7" x14ac:dyDescent="0.2">
      <c r="A66" s="50" t="str">
        <f>IF(ISBLANK(RECAPITULATIF!A76),"",RECAPITULATIF!A76)</f>
        <v/>
      </c>
      <c r="B66" s="50" t="str">
        <f>IF(ISBLANK(RECAPITULATIF!B76),"",RECAPITULATIF!B76)</f>
        <v/>
      </c>
      <c r="C66" s="50" t="str">
        <f>IF(ISBLANK(RECAPITULATIF!C76),"",RECAPITULATIF!C76)</f>
        <v/>
      </c>
      <c r="D66" s="69"/>
      <c r="E66" s="70"/>
      <c r="F66" s="69"/>
      <c r="G66" s="89"/>
    </row>
    <row r="67" spans="1:7" x14ac:dyDescent="0.2">
      <c r="A67" s="50" t="str">
        <f>IF(ISBLANK(RECAPITULATIF!A77),"",RECAPITULATIF!A77)</f>
        <v/>
      </c>
      <c r="B67" s="50" t="str">
        <f>IF(ISBLANK(RECAPITULATIF!B77),"",RECAPITULATIF!B77)</f>
        <v/>
      </c>
      <c r="C67" s="50" t="str">
        <f>IF(ISBLANK(RECAPITULATIF!C77),"",RECAPITULATIF!C77)</f>
        <v/>
      </c>
      <c r="D67" s="69"/>
      <c r="E67" s="70"/>
      <c r="F67" s="69"/>
      <c r="G67" s="89"/>
    </row>
    <row r="68" spans="1:7" x14ac:dyDescent="0.2">
      <c r="A68" s="50" t="str">
        <f>IF(ISBLANK(RECAPITULATIF!A78),"",RECAPITULATIF!A78)</f>
        <v/>
      </c>
      <c r="B68" s="50" t="str">
        <f>IF(ISBLANK(RECAPITULATIF!B78),"",RECAPITULATIF!B78)</f>
        <v/>
      </c>
      <c r="C68" s="50" t="str">
        <f>IF(ISBLANK(RECAPITULATIF!C78),"",RECAPITULATIF!C78)</f>
        <v/>
      </c>
      <c r="D68" s="69"/>
      <c r="E68" s="70"/>
      <c r="F68" s="69"/>
      <c r="G68" s="89"/>
    </row>
    <row r="69" spans="1:7" x14ac:dyDescent="0.2">
      <c r="A69" s="50" t="str">
        <f>IF(ISBLANK(RECAPITULATIF!A79),"",RECAPITULATIF!A79)</f>
        <v/>
      </c>
      <c r="B69" s="50" t="str">
        <f>IF(ISBLANK(RECAPITULATIF!B79),"",RECAPITULATIF!B79)</f>
        <v/>
      </c>
      <c r="C69" s="50" t="str">
        <f>IF(ISBLANK(RECAPITULATIF!C79),"",RECAPITULATIF!C79)</f>
        <v/>
      </c>
      <c r="D69" s="69"/>
      <c r="E69" s="70"/>
      <c r="F69" s="69"/>
      <c r="G69" s="89"/>
    </row>
    <row r="70" spans="1:7" x14ac:dyDescent="0.2">
      <c r="A70" s="50" t="str">
        <f>IF(ISBLANK(RECAPITULATIF!A80),"",RECAPITULATIF!A80)</f>
        <v/>
      </c>
      <c r="B70" s="50" t="str">
        <f>IF(ISBLANK(RECAPITULATIF!B80),"",RECAPITULATIF!B80)</f>
        <v/>
      </c>
      <c r="C70" s="50" t="str">
        <f>IF(ISBLANK(RECAPITULATIF!C80),"",RECAPITULATIF!C80)</f>
        <v/>
      </c>
      <c r="D70" s="69"/>
      <c r="E70" s="70"/>
      <c r="F70" s="69"/>
      <c r="G70" s="89"/>
    </row>
    <row r="71" spans="1:7" x14ac:dyDescent="0.2">
      <c r="A71" s="50" t="str">
        <f>IF(ISBLANK(RECAPITULATIF!A81),"",RECAPITULATIF!A81)</f>
        <v/>
      </c>
      <c r="B71" s="50" t="str">
        <f>IF(ISBLANK(RECAPITULATIF!B81),"",RECAPITULATIF!B81)</f>
        <v/>
      </c>
      <c r="C71" s="50" t="str">
        <f>IF(ISBLANK(RECAPITULATIF!C81),"",RECAPITULATIF!C81)</f>
        <v/>
      </c>
      <c r="D71" s="69"/>
      <c r="E71" s="70"/>
      <c r="F71" s="69"/>
      <c r="G71" s="89"/>
    </row>
    <row r="72" spans="1:7" x14ac:dyDescent="0.2">
      <c r="A72" s="50" t="str">
        <f>IF(ISBLANK(RECAPITULATIF!A82),"",RECAPITULATIF!A82)</f>
        <v/>
      </c>
      <c r="B72" s="50" t="str">
        <f>IF(ISBLANK(RECAPITULATIF!B82),"",RECAPITULATIF!B82)</f>
        <v/>
      </c>
      <c r="C72" s="50" t="str">
        <f>IF(ISBLANK(RECAPITULATIF!C82),"",RECAPITULATIF!C82)</f>
        <v/>
      </c>
      <c r="D72" s="69"/>
      <c r="E72" s="70"/>
      <c r="F72" s="69"/>
      <c r="G72" s="89"/>
    </row>
    <row r="73" spans="1:7" x14ac:dyDescent="0.2">
      <c r="A73" s="50" t="str">
        <f>IF(ISBLANK(RECAPITULATIF!A83),"",RECAPITULATIF!A83)</f>
        <v/>
      </c>
      <c r="B73" s="50" t="str">
        <f>IF(ISBLANK(RECAPITULATIF!B83),"",RECAPITULATIF!B83)</f>
        <v/>
      </c>
      <c r="C73" s="50" t="str">
        <f>IF(ISBLANK(RECAPITULATIF!C83),"",RECAPITULATIF!C83)</f>
        <v/>
      </c>
      <c r="D73" s="69"/>
      <c r="E73" s="70"/>
      <c r="F73" s="69"/>
      <c r="G73" s="89"/>
    </row>
    <row r="74" spans="1:7" x14ac:dyDescent="0.2">
      <c r="A74" s="50" t="str">
        <f>IF(ISBLANK(RECAPITULATIF!A84),"",RECAPITULATIF!A84)</f>
        <v/>
      </c>
      <c r="B74" s="50" t="str">
        <f>IF(ISBLANK(RECAPITULATIF!B84),"",RECAPITULATIF!B84)</f>
        <v/>
      </c>
      <c r="C74" s="50" t="str">
        <f>IF(ISBLANK(RECAPITULATIF!C84),"",RECAPITULATIF!C84)</f>
        <v/>
      </c>
      <c r="D74" s="69"/>
      <c r="E74" s="70"/>
      <c r="F74" s="69"/>
      <c r="G74" s="89"/>
    </row>
    <row r="75" spans="1:7" x14ac:dyDescent="0.2">
      <c r="A75" s="50" t="str">
        <f>IF(ISBLANK(RECAPITULATIF!A85),"",RECAPITULATIF!A85)</f>
        <v/>
      </c>
      <c r="B75" s="50" t="str">
        <f>IF(ISBLANK(RECAPITULATIF!B85),"",RECAPITULATIF!B85)</f>
        <v/>
      </c>
      <c r="C75" s="50" t="str">
        <f>IF(ISBLANK(RECAPITULATIF!C85),"",RECAPITULATIF!C85)</f>
        <v/>
      </c>
      <c r="D75" s="69"/>
      <c r="E75" s="70"/>
      <c r="F75" s="69"/>
      <c r="G75" s="89"/>
    </row>
    <row r="76" spans="1:7" x14ac:dyDescent="0.2">
      <c r="A76" s="50" t="str">
        <f>IF(ISBLANK(RECAPITULATIF!A86),"",RECAPITULATIF!A86)</f>
        <v/>
      </c>
      <c r="B76" s="50" t="str">
        <f>IF(ISBLANK(RECAPITULATIF!B86),"",RECAPITULATIF!B86)</f>
        <v/>
      </c>
      <c r="C76" s="50" t="str">
        <f>IF(ISBLANK(RECAPITULATIF!C86),"",RECAPITULATIF!C86)</f>
        <v/>
      </c>
      <c r="D76" s="69"/>
      <c r="E76" s="70"/>
      <c r="F76" s="69"/>
      <c r="G76" s="89"/>
    </row>
    <row r="77" spans="1:7" x14ac:dyDescent="0.2">
      <c r="A77" s="50" t="str">
        <f>IF(ISBLANK(RECAPITULATIF!A87),"",RECAPITULATIF!A87)</f>
        <v/>
      </c>
      <c r="B77" s="50" t="str">
        <f>IF(ISBLANK(RECAPITULATIF!B87),"",RECAPITULATIF!B87)</f>
        <v/>
      </c>
      <c r="C77" s="50" t="str">
        <f>IF(ISBLANK(RECAPITULATIF!C87),"",RECAPITULATIF!C87)</f>
        <v/>
      </c>
      <c r="D77" s="69"/>
      <c r="E77" s="70"/>
      <c r="F77" s="69"/>
      <c r="G77" s="89"/>
    </row>
    <row r="78" spans="1:7" x14ac:dyDescent="0.2">
      <c r="A78" s="50" t="str">
        <f>IF(ISBLANK(RECAPITULATIF!A88),"",RECAPITULATIF!A88)</f>
        <v/>
      </c>
      <c r="B78" s="50" t="str">
        <f>IF(ISBLANK(RECAPITULATIF!B88),"",RECAPITULATIF!B88)</f>
        <v/>
      </c>
      <c r="C78" s="50" t="str">
        <f>IF(ISBLANK(RECAPITULATIF!C88),"",RECAPITULATIF!C88)</f>
        <v/>
      </c>
      <c r="D78" s="69"/>
      <c r="E78" s="70"/>
      <c r="F78" s="69"/>
      <c r="G78" s="89"/>
    </row>
    <row r="79" spans="1:7" x14ac:dyDescent="0.2">
      <c r="A79" s="50" t="str">
        <f>IF(ISBLANK(RECAPITULATIF!A89),"",RECAPITULATIF!A89)</f>
        <v/>
      </c>
      <c r="B79" s="50" t="str">
        <f>IF(ISBLANK(RECAPITULATIF!B89),"",RECAPITULATIF!B89)</f>
        <v/>
      </c>
      <c r="C79" s="50" t="str">
        <f>IF(ISBLANK(RECAPITULATIF!C89),"",RECAPITULATIF!C89)</f>
        <v/>
      </c>
      <c r="D79" s="69"/>
      <c r="E79" s="70"/>
      <c r="F79" s="69"/>
      <c r="G79" s="89"/>
    </row>
    <row r="80" spans="1:7" x14ac:dyDescent="0.2">
      <c r="A80" s="50" t="str">
        <f>IF(ISBLANK(RECAPITULATIF!A90),"",RECAPITULATIF!A90)</f>
        <v/>
      </c>
      <c r="B80" s="50" t="str">
        <f>IF(ISBLANK(RECAPITULATIF!B90),"",RECAPITULATIF!B90)</f>
        <v/>
      </c>
      <c r="C80" s="50" t="str">
        <f>IF(ISBLANK(RECAPITULATIF!C90),"",RECAPITULATIF!C90)</f>
        <v/>
      </c>
      <c r="D80" s="69"/>
      <c r="E80" s="70"/>
      <c r="F80" s="69"/>
      <c r="G80" s="89"/>
    </row>
    <row r="81" spans="1:7" x14ac:dyDescent="0.2">
      <c r="A81" s="50" t="str">
        <f>IF(ISBLANK(RECAPITULATIF!A91),"",RECAPITULATIF!A91)</f>
        <v/>
      </c>
      <c r="B81" s="50" t="str">
        <f>IF(ISBLANK(RECAPITULATIF!B91),"",RECAPITULATIF!B91)</f>
        <v/>
      </c>
      <c r="C81" s="50" t="str">
        <f>IF(ISBLANK(RECAPITULATIF!C91),"",RECAPITULATIF!C91)</f>
        <v/>
      </c>
      <c r="D81" s="69"/>
      <c r="E81" s="70"/>
      <c r="F81" s="69"/>
      <c r="G81" s="89"/>
    </row>
    <row r="82" spans="1:7" x14ac:dyDescent="0.2">
      <c r="A82" s="50" t="str">
        <f>IF(ISBLANK(RECAPITULATIF!A92),"",RECAPITULATIF!A92)</f>
        <v/>
      </c>
      <c r="B82" s="50" t="str">
        <f>IF(ISBLANK(RECAPITULATIF!B92),"",RECAPITULATIF!B92)</f>
        <v/>
      </c>
      <c r="C82" s="50" t="str">
        <f>IF(ISBLANK(RECAPITULATIF!C92),"",RECAPITULATIF!C92)</f>
        <v/>
      </c>
      <c r="D82" s="69"/>
      <c r="E82" s="70"/>
      <c r="F82" s="69"/>
      <c r="G82" s="89"/>
    </row>
    <row r="83" spans="1:7" x14ac:dyDescent="0.2">
      <c r="A83" s="50" t="str">
        <f>IF(ISBLANK(RECAPITULATIF!A93),"",RECAPITULATIF!A93)</f>
        <v/>
      </c>
      <c r="B83" s="50" t="str">
        <f>IF(ISBLANK(RECAPITULATIF!B93),"",RECAPITULATIF!B93)</f>
        <v/>
      </c>
      <c r="C83" s="50" t="str">
        <f>IF(ISBLANK(RECAPITULATIF!C93),"",RECAPITULATIF!C93)</f>
        <v/>
      </c>
      <c r="D83" s="69"/>
      <c r="E83" s="70"/>
      <c r="F83" s="69"/>
      <c r="G83" s="89"/>
    </row>
    <row r="84" spans="1:7" x14ac:dyDescent="0.2">
      <c r="A84" s="50" t="str">
        <f>IF(ISBLANK(RECAPITULATIF!A94),"",RECAPITULATIF!A94)</f>
        <v/>
      </c>
      <c r="B84" s="50" t="str">
        <f>IF(ISBLANK(RECAPITULATIF!B94),"",RECAPITULATIF!B94)</f>
        <v/>
      </c>
      <c r="C84" s="50" t="str">
        <f>IF(ISBLANK(RECAPITULATIF!C94),"",RECAPITULATIF!C94)</f>
        <v/>
      </c>
      <c r="D84" s="69"/>
      <c r="E84" s="70"/>
      <c r="F84" s="69"/>
      <c r="G84" s="89"/>
    </row>
    <row r="85" spans="1:7" x14ac:dyDescent="0.2">
      <c r="A85" s="50" t="str">
        <f>IF(ISBLANK(RECAPITULATIF!A95),"",RECAPITULATIF!A95)</f>
        <v/>
      </c>
      <c r="B85" s="50" t="str">
        <f>IF(ISBLANK(RECAPITULATIF!B95),"",RECAPITULATIF!B95)</f>
        <v/>
      </c>
      <c r="C85" s="50" t="str">
        <f>IF(ISBLANK(RECAPITULATIF!C95),"",RECAPITULATIF!C95)</f>
        <v/>
      </c>
      <c r="D85" s="69"/>
      <c r="E85" s="70"/>
      <c r="F85" s="69"/>
      <c r="G85" s="89"/>
    </row>
    <row r="86" spans="1:7" x14ac:dyDescent="0.2">
      <c r="A86" s="50" t="str">
        <f>IF(ISBLANK(RECAPITULATIF!A96),"",RECAPITULATIF!A96)</f>
        <v/>
      </c>
      <c r="B86" s="50" t="str">
        <f>IF(ISBLANK(RECAPITULATIF!B96),"",RECAPITULATIF!B96)</f>
        <v/>
      </c>
      <c r="C86" s="50" t="str">
        <f>IF(ISBLANK(RECAPITULATIF!C96),"",RECAPITULATIF!C96)</f>
        <v/>
      </c>
      <c r="D86" s="69"/>
      <c r="E86" s="70"/>
      <c r="F86" s="69"/>
      <c r="G86" s="89"/>
    </row>
    <row r="87" spans="1:7" x14ac:dyDescent="0.2">
      <c r="A87" s="50" t="str">
        <f>IF(ISBLANK(RECAPITULATIF!A97),"",RECAPITULATIF!A97)</f>
        <v/>
      </c>
      <c r="B87" s="50" t="str">
        <f>IF(ISBLANK(RECAPITULATIF!B97),"",RECAPITULATIF!B97)</f>
        <v/>
      </c>
      <c r="C87" s="50" t="str">
        <f>IF(ISBLANK(RECAPITULATIF!C97),"",RECAPITULATIF!C97)</f>
        <v/>
      </c>
      <c r="D87" s="69"/>
      <c r="E87" s="70"/>
      <c r="F87" s="69"/>
      <c r="G87" s="89"/>
    </row>
    <row r="88" spans="1:7" x14ac:dyDescent="0.2">
      <c r="A88" s="50" t="str">
        <f>IF(ISBLANK(RECAPITULATIF!A98),"",RECAPITULATIF!A98)</f>
        <v/>
      </c>
      <c r="B88" s="50" t="str">
        <f>IF(ISBLANK(RECAPITULATIF!B98),"",RECAPITULATIF!B98)</f>
        <v/>
      </c>
      <c r="C88" s="50" t="str">
        <f>IF(ISBLANK(RECAPITULATIF!C98),"",RECAPITULATIF!C98)</f>
        <v/>
      </c>
      <c r="D88" s="69"/>
      <c r="E88" s="70"/>
      <c r="F88" s="69"/>
      <c r="G88" s="89"/>
    </row>
    <row r="89" spans="1:7" x14ac:dyDescent="0.2">
      <c r="A89" s="50" t="str">
        <f>IF(ISBLANK(RECAPITULATIF!A99),"",RECAPITULATIF!A99)</f>
        <v/>
      </c>
      <c r="B89" s="50" t="str">
        <f>IF(ISBLANK(RECAPITULATIF!B99),"",RECAPITULATIF!B99)</f>
        <v/>
      </c>
      <c r="C89" s="50" t="str">
        <f>IF(ISBLANK(RECAPITULATIF!C99),"",RECAPITULATIF!C99)</f>
        <v/>
      </c>
      <c r="D89" s="69"/>
      <c r="E89" s="70"/>
      <c r="F89" s="69"/>
      <c r="G89" s="89"/>
    </row>
    <row r="90" spans="1:7" x14ac:dyDescent="0.2">
      <c r="A90" s="50" t="str">
        <f>IF(ISBLANK(RECAPITULATIF!A100),"",RECAPITULATIF!A100)</f>
        <v/>
      </c>
      <c r="B90" s="50" t="str">
        <f>IF(ISBLANK(RECAPITULATIF!B100),"",RECAPITULATIF!B100)</f>
        <v/>
      </c>
      <c r="C90" s="50" t="str">
        <f>IF(ISBLANK(RECAPITULATIF!C100),"",RECAPITULATIF!C100)</f>
        <v/>
      </c>
      <c r="D90" s="69"/>
      <c r="E90" s="70"/>
      <c r="F90" s="69"/>
      <c r="G90" s="89"/>
    </row>
    <row r="91" spans="1:7" x14ac:dyDescent="0.2">
      <c r="A91" s="50" t="str">
        <f>IF(ISBLANK(RECAPITULATIF!A101),"",RECAPITULATIF!A101)</f>
        <v/>
      </c>
      <c r="B91" s="50" t="str">
        <f>IF(ISBLANK(RECAPITULATIF!B101),"",RECAPITULATIF!B101)</f>
        <v/>
      </c>
      <c r="C91" s="50" t="str">
        <f>IF(ISBLANK(RECAPITULATIF!C101),"",RECAPITULATIF!C101)</f>
        <v/>
      </c>
      <c r="D91" s="69"/>
      <c r="E91" s="70"/>
      <c r="F91" s="69"/>
      <c r="G91" s="89"/>
    </row>
    <row r="92" spans="1:7" x14ac:dyDescent="0.2">
      <c r="A92" s="50" t="str">
        <f>IF(ISBLANK(RECAPITULATIF!A102),"",RECAPITULATIF!A102)</f>
        <v/>
      </c>
      <c r="B92" s="50" t="str">
        <f>IF(ISBLANK(RECAPITULATIF!B102),"",RECAPITULATIF!B102)</f>
        <v/>
      </c>
      <c r="C92" s="50" t="str">
        <f>IF(ISBLANK(RECAPITULATIF!C102),"",RECAPITULATIF!C102)</f>
        <v/>
      </c>
      <c r="D92" s="69"/>
      <c r="E92" s="70"/>
      <c r="F92" s="69"/>
      <c r="G92" s="89"/>
    </row>
    <row r="93" spans="1:7" x14ac:dyDescent="0.2">
      <c r="A93" s="50" t="str">
        <f>IF(ISBLANK(RECAPITULATIF!A103),"",RECAPITULATIF!A103)</f>
        <v/>
      </c>
      <c r="B93" s="50" t="str">
        <f>IF(ISBLANK(RECAPITULATIF!B103),"",RECAPITULATIF!B103)</f>
        <v/>
      </c>
      <c r="C93" s="50" t="str">
        <f>IF(ISBLANK(RECAPITULATIF!C103),"",RECAPITULATIF!C103)</f>
        <v/>
      </c>
      <c r="D93" s="69"/>
      <c r="E93" s="70"/>
      <c r="F93" s="69"/>
      <c r="G93" s="89"/>
    </row>
    <row r="94" spans="1:7" x14ac:dyDescent="0.2">
      <c r="A94" s="50" t="str">
        <f>IF(ISBLANK(RECAPITULATIF!A104),"",RECAPITULATIF!A104)</f>
        <v/>
      </c>
      <c r="B94" s="50" t="str">
        <f>IF(ISBLANK(RECAPITULATIF!B104),"",RECAPITULATIF!B104)</f>
        <v/>
      </c>
      <c r="C94" s="50" t="str">
        <f>IF(ISBLANK(RECAPITULATIF!C104),"",RECAPITULATIF!C104)</f>
        <v/>
      </c>
      <c r="D94" s="69"/>
      <c r="E94" s="70"/>
      <c r="F94" s="69"/>
      <c r="G94" s="89"/>
    </row>
    <row r="95" spans="1:7" x14ac:dyDescent="0.2">
      <c r="A95" s="50" t="str">
        <f>IF(ISBLANK(RECAPITULATIF!A105),"",RECAPITULATIF!A105)</f>
        <v/>
      </c>
      <c r="B95" s="50" t="str">
        <f>IF(ISBLANK(RECAPITULATIF!B105),"",RECAPITULATIF!B105)</f>
        <v/>
      </c>
      <c r="C95" s="50" t="str">
        <f>IF(ISBLANK(RECAPITULATIF!C105),"",RECAPITULATIF!C105)</f>
        <v/>
      </c>
      <c r="D95" s="69"/>
      <c r="E95" s="70"/>
      <c r="F95" s="69"/>
      <c r="G95" s="89"/>
    </row>
    <row r="96" spans="1:7" x14ac:dyDescent="0.2">
      <c r="A96" s="50" t="str">
        <f>IF(ISBLANK(RECAPITULATIF!A106),"",RECAPITULATIF!A106)</f>
        <v/>
      </c>
      <c r="B96" s="50" t="str">
        <f>IF(ISBLANK(RECAPITULATIF!B106),"",RECAPITULATIF!B106)</f>
        <v/>
      </c>
      <c r="C96" s="50" t="str">
        <f>IF(ISBLANK(RECAPITULATIF!C106),"",RECAPITULATIF!C106)</f>
        <v/>
      </c>
      <c r="D96" s="69"/>
      <c r="E96" s="70"/>
      <c r="F96" s="69"/>
      <c r="G96" s="89"/>
    </row>
    <row r="97" spans="1:7" x14ac:dyDescent="0.2">
      <c r="A97" s="50" t="str">
        <f>IF(ISBLANK(RECAPITULATIF!A107),"",RECAPITULATIF!A107)</f>
        <v/>
      </c>
      <c r="B97" s="50" t="str">
        <f>IF(ISBLANK(RECAPITULATIF!B107),"",RECAPITULATIF!B107)</f>
        <v/>
      </c>
      <c r="C97" s="50" t="str">
        <f>IF(ISBLANK(RECAPITULATIF!C107),"",RECAPITULATIF!C107)</f>
        <v/>
      </c>
      <c r="D97" s="69"/>
      <c r="E97" s="70"/>
      <c r="F97" s="69"/>
      <c r="G97" s="89"/>
    </row>
    <row r="98" spans="1:7" x14ac:dyDescent="0.2">
      <c r="A98" s="50" t="str">
        <f>IF(ISBLANK(RECAPITULATIF!A108),"",RECAPITULATIF!A108)</f>
        <v/>
      </c>
      <c r="B98" s="50" t="str">
        <f>IF(ISBLANK(RECAPITULATIF!B108),"",RECAPITULATIF!B108)</f>
        <v/>
      </c>
      <c r="C98" s="50" t="str">
        <f>IF(ISBLANK(RECAPITULATIF!C108),"",RECAPITULATIF!C108)</f>
        <v/>
      </c>
      <c r="D98" s="69"/>
      <c r="E98" s="70"/>
      <c r="F98" s="69"/>
      <c r="G98" s="89"/>
    </row>
    <row r="99" spans="1:7" x14ac:dyDescent="0.2">
      <c r="A99" s="50" t="str">
        <f>IF(ISBLANK(RECAPITULATIF!A109),"",RECAPITULATIF!A109)</f>
        <v/>
      </c>
      <c r="B99" s="50" t="str">
        <f>IF(ISBLANK(RECAPITULATIF!B109),"",RECAPITULATIF!B109)</f>
        <v/>
      </c>
      <c r="C99" s="50" t="str">
        <f>IF(ISBLANK(RECAPITULATIF!C109),"",RECAPITULATIF!C109)</f>
        <v/>
      </c>
      <c r="D99" s="69"/>
      <c r="E99" s="70"/>
      <c r="F99" s="69"/>
      <c r="G99" s="89"/>
    </row>
    <row r="100" spans="1:7" x14ac:dyDescent="0.2">
      <c r="A100" s="50" t="str">
        <f>IF(ISBLANK(RECAPITULATIF!A110),"",RECAPITULATIF!A110)</f>
        <v/>
      </c>
      <c r="B100" s="50" t="str">
        <f>IF(ISBLANK(RECAPITULATIF!B110),"",RECAPITULATIF!B110)</f>
        <v/>
      </c>
      <c r="C100" s="50" t="str">
        <f>IF(ISBLANK(RECAPITULATIF!C110),"",RECAPITULATIF!C110)</f>
        <v/>
      </c>
      <c r="D100" s="69"/>
      <c r="E100" s="70"/>
      <c r="F100" s="69"/>
      <c r="G100" s="89"/>
    </row>
    <row r="101" spans="1:7" x14ac:dyDescent="0.2">
      <c r="A101" s="50" t="str">
        <f>IF(ISBLANK(RECAPITULATIF!A111),"",RECAPITULATIF!A111)</f>
        <v/>
      </c>
      <c r="B101" s="50" t="str">
        <f>IF(ISBLANK(RECAPITULATIF!B111),"",RECAPITULATIF!B111)</f>
        <v/>
      </c>
      <c r="C101" s="50" t="str">
        <f>IF(ISBLANK(RECAPITULATIF!C111),"",RECAPITULATIF!C111)</f>
        <v/>
      </c>
      <c r="D101" s="69"/>
      <c r="E101" s="70"/>
      <c r="F101" s="69"/>
      <c r="G101" s="89"/>
    </row>
    <row r="102" spans="1:7" x14ac:dyDescent="0.2">
      <c r="A102" s="50" t="str">
        <f>IF(ISBLANK(RECAPITULATIF!A112),"",RECAPITULATIF!A112)</f>
        <v/>
      </c>
      <c r="B102" s="50" t="str">
        <f>IF(ISBLANK(RECAPITULATIF!B112),"",RECAPITULATIF!B112)</f>
        <v/>
      </c>
      <c r="C102" s="50" t="str">
        <f>IF(ISBLANK(RECAPITULATIF!C112),"",RECAPITULATIF!C112)</f>
        <v/>
      </c>
      <c r="D102" s="69"/>
      <c r="E102" s="70"/>
      <c r="F102" s="69"/>
      <c r="G102" s="89"/>
    </row>
    <row r="103" spans="1:7" x14ac:dyDescent="0.2">
      <c r="A103" s="50" t="str">
        <f>IF(ISBLANK(RECAPITULATIF!A113),"",RECAPITULATIF!A113)</f>
        <v/>
      </c>
      <c r="B103" s="50" t="str">
        <f>IF(ISBLANK(RECAPITULATIF!B113),"",RECAPITULATIF!B113)</f>
        <v/>
      </c>
      <c r="C103" s="50" t="str">
        <f>IF(ISBLANK(RECAPITULATIF!C113),"",RECAPITULATIF!C113)</f>
        <v/>
      </c>
      <c r="D103" s="69"/>
      <c r="E103" s="70"/>
      <c r="F103" s="69"/>
      <c r="G103" s="89"/>
    </row>
    <row r="104" spans="1:7" x14ac:dyDescent="0.2">
      <c r="A104" s="50" t="str">
        <f>IF(ISBLANK(RECAPITULATIF!A114),"",RECAPITULATIF!A114)</f>
        <v/>
      </c>
      <c r="B104" s="50" t="str">
        <f>IF(ISBLANK(RECAPITULATIF!B114),"",RECAPITULATIF!B114)</f>
        <v/>
      </c>
      <c r="C104" s="50" t="str">
        <f>IF(ISBLANK(RECAPITULATIF!C114),"",RECAPITULATIF!C114)</f>
        <v/>
      </c>
      <c r="D104" s="69"/>
      <c r="E104" s="70"/>
      <c r="F104" s="69"/>
      <c r="G104" s="89"/>
    </row>
    <row r="105" spans="1:7" x14ac:dyDescent="0.2">
      <c r="A105" s="50" t="str">
        <f>IF(ISBLANK(RECAPITULATIF!A115),"",RECAPITULATIF!A115)</f>
        <v/>
      </c>
      <c r="B105" s="50" t="str">
        <f>IF(ISBLANK(RECAPITULATIF!B115),"",RECAPITULATIF!B115)</f>
        <v/>
      </c>
      <c r="C105" s="50" t="str">
        <f>IF(ISBLANK(RECAPITULATIF!C115),"",RECAPITULATIF!C115)</f>
        <v/>
      </c>
      <c r="D105" s="69"/>
      <c r="E105" s="70"/>
      <c r="F105" s="69"/>
      <c r="G105" s="89"/>
    </row>
    <row r="106" spans="1:7" x14ac:dyDescent="0.2">
      <c r="A106" s="50" t="str">
        <f>IF(ISBLANK(RECAPITULATIF!A116),"",RECAPITULATIF!A116)</f>
        <v/>
      </c>
      <c r="B106" s="50" t="str">
        <f>IF(ISBLANK(RECAPITULATIF!B116),"",RECAPITULATIF!B116)</f>
        <v/>
      </c>
      <c r="C106" s="50" t="str">
        <f>IF(ISBLANK(RECAPITULATIF!C116),"",RECAPITULATIF!C116)</f>
        <v/>
      </c>
      <c r="D106" s="69"/>
      <c r="E106" s="70"/>
      <c r="F106" s="69"/>
      <c r="G106" s="89"/>
    </row>
    <row r="107" spans="1:7" x14ac:dyDescent="0.2">
      <c r="A107" s="50" t="str">
        <f>IF(ISBLANK(RECAPITULATIF!A117),"",RECAPITULATIF!A117)</f>
        <v/>
      </c>
      <c r="B107" s="50" t="str">
        <f>IF(ISBLANK(RECAPITULATIF!B117),"",RECAPITULATIF!B117)</f>
        <v/>
      </c>
      <c r="C107" s="50" t="str">
        <f>IF(ISBLANK(RECAPITULATIF!C117),"",RECAPITULATIF!C117)</f>
        <v/>
      </c>
      <c r="D107" s="69"/>
      <c r="E107" s="70"/>
      <c r="F107" s="69"/>
      <c r="G107" s="89"/>
    </row>
    <row r="108" spans="1:7" x14ac:dyDescent="0.2">
      <c r="A108" s="50" t="str">
        <f>IF(ISBLANK(RECAPITULATIF!A118),"",RECAPITULATIF!A118)</f>
        <v/>
      </c>
      <c r="B108" s="50" t="str">
        <f>IF(ISBLANK(RECAPITULATIF!B118),"",RECAPITULATIF!B118)</f>
        <v/>
      </c>
      <c r="C108" s="50" t="str">
        <f>IF(ISBLANK(RECAPITULATIF!C118),"",RECAPITULATIF!C118)</f>
        <v/>
      </c>
      <c r="D108" s="69"/>
      <c r="E108" s="70"/>
      <c r="F108" s="69"/>
      <c r="G108" s="89"/>
    </row>
    <row r="109" spans="1:7" x14ac:dyDescent="0.2">
      <c r="A109" s="50" t="str">
        <f>IF(ISBLANK(RECAPITULATIF!A119),"",RECAPITULATIF!A119)</f>
        <v/>
      </c>
      <c r="B109" s="50" t="str">
        <f>IF(ISBLANK(RECAPITULATIF!B119),"",RECAPITULATIF!B119)</f>
        <v/>
      </c>
      <c r="C109" s="50" t="str">
        <f>IF(ISBLANK(RECAPITULATIF!C119),"",RECAPITULATIF!C119)</f>
        <v/>
      </c>
      <c r="D109" s="69"/>
      <c r="E109" s="70"/>
      <c r="F109" s="69"/>
      <c r="G109" s="89"/>
    </row>
    <row r="110" spans="1:7" x14ac:dyDescent="0.2">
      <c r="A110" s="50" t="str">
        <f>IF(ISBLANK(RECAPITULATIF!A120),"",RECAPITULATIF!A120)</f>
        <v/>
      </c>
      <c r="B110" s="50" t="str">
        <f>IF(ISBLANK(RECAPITULATIF!B120),"",RECAPITULATIF!B120)</f>
        <v/>
      </c>
      <c r="C110" s="50" t="str">
        <f>IF(ISBLANK(RECAPITULATIF!C120),"",RECAPITULATIF!C120)</f>
        <v/>
      </c>
      <c r="D110" s="69"/>
      <c r="E110" s="70"/>
      <c r="F110" s="69"/>
      <c r="G110" s="89"/>
    </row>
    <row r="111" spans="1:7" x14ac:dyDescent="0.2">
      <c r="A111" s="50" t="str">
        <f>IF(ISBLANK(RECAPITULATIF!A121),"",RECAPITULATIF!A121)</f>
        <v/>
      </c>
      <c r="B111" s="50" t="str">
        <f>IF(ISBLANK(RECAPITULATIF!B121),"",RECAPITULATIF!B121)</f>
        <v/>
      </c>
      <c r="C111" s="50" t="str">
        <f>IF(ISBLANK(RECAPITULATIF!C121),"",RECAPITULATIF!C121)</f>
        <v/>
      </c>
      <c r="D111" s="69"/>
      <c r="E111" s="70"/>
      <c r="F111" s="69"/>
      <c r="G111" s="89"/>
    </row>
    <row r="112" spans="1:7" x14ac:dyDescent="0.2">
      <c r="A112" s="50" t="str">
        <f>IF(ISBLANK(RECAPITULATIF!A122),"",RECAPITULATIF!A122)</f>
        <v/>
      </c>
      <c r="B112" s="50" t="str">
        <f>IF(ISBLANK(RECAPITULATIF!B122),"",RECAPITULATIF!B122)</f>
        <v/>
      </c>
      <c r="C112" s="50" t="str">
        <f>IF(ISBLANK(RECAPITULATIF!C122),"",RECAPITULATIF!C122)</f>
        <v/>
      </c>
      <c r="D112" s="69"/>
      <c r="E112" s="70"/>
      <c r="F112" s="69"/>
      <c r="G112" s="89"/>
    </row>
    <row r="113" spans="1:7" x14ac:dyDescent="0.2">
      <c r="A113" s="50" t="str">
        <f>IF(ISBLANK(RECAPITULATIF!A123),"",RECAPITULATIF!A123)</f>
        <v/>
      </c>
      <c r="B113" s="50" t="str">
        <f>IF(ISBLANK(RECAPITULATIF!B123),"",RECAPITULATIF!B123)</f>
        <v/>
      </c>
      <c r="C113" s="50" t="str">
        <f>IF(ISBLANK(RECAPITULATIF!C123),"",RECAPITULATIF!C123)</f>
        <v/>
      </c>
      <c r="D113" s="69"/>
      <c r="E113" s="70"/>
      <c r="F113" s="69"/>
      <c r="G113" s="89"/>
    </row>
    <row r="114" spans="1:7" x14ac:dyDescent="0.2">
      <c r="A114" s="50" t="str">
        <f>IF(ISBLANK(RECAPITULATIF!A124),"",RECAPITULATIF!A124)</f>
        <v/>
      </c>
      <c r="B114" s="50" t="str">
        <f>IF(ISBLANK(RECAPITULATIF!B124),"",RECAPITULATIF!B124)</f>
        <v/>
      </c>
      <c r="C114" s="50" t="str">
        <f>IF(ISBLANK(RECAPITULATIF!C124),"",RECAPITULATIF!C124)</f>
        <v/>
      </c>
      <c r="D114" s="69"/>
      <c r="E114" s="70"/>
      <c r="F114" s="69"/>
      <c r="G114" s="89"/>
    </row>
    <row r="115" spans="1:7" x14ac:dyDescent="0.2">
      <c r="A115" s="50" t="str">
        <f>IF(ISBLANK(RECAPITULATIF!A125),"",RECAPITULATIF!A125)</f>
        <v/>
      </c>
      <c r="B115" s="50" t="str">
        <f>IF(ISBLANK(RECAPITULATIF!B125),"",RECAPITULATIF!B125)</f>
        <v/>
      </c>
      <c r="C115" s="50" t="str">
        <f>IF(ISBLANK(RECAPITULATIF!C125),"",RECAPITULATIF!C125)</f>
        <v/>
      </c>
      <c r="D115" s="69"/>
      <c r="E115" s="70"/>
      <c r="F115" s="69"/>
      <c r="G115" s="89"/>
    </row>
    <row r="116" spans="1:7" x14ac:dyDescent="0.2">
      <c r="A116" s="50" t="str">
        <f>IF(ISBLANK(RECAPITULATIF!A126),"",RECAPITULATIF!A126)</f>
        <v/>
      </c>
      <c r="B116" s="50" t="str">
        <f>IF(ISBLANK(RECAPITULATIF!B126),"",RECAPITULATIF!B126)</f>
        <v/>
      </c>
      <c r="C116" s="50" t="str">
        <f>IF(ISBLANK(RECAPITULATIF!C126),"",RECAPITULATIF!C126)</f>
        <v/>
      </c>
      <c r="D116" s="69"/>
      <c r="E116" s="70"/>
      <c r="F116" s="69"/>
      <c r="G116" s="89"/>
    </row>
    <row r="117" spans="1:7" x14ac:dyDescent="0.2">
      <c r="A117" s="50" t="str">
        <f>IF(ISBLANK(RECAPITULATIF!A127),"",RECAPITULATIF!A127)</f>
        <v/>
      </c>
      <c r="B117" s="50" t="str">
        <f>IF(ISBLANK(RECAPITULATIF!B127),"",RECAPITULATIF!B127)</f>
        <v/>
      </c>
      <c r="C117" s="50" t="str">
        <f>IF(ISBLANK(RECAPITULATIF!C127),"",RECAPITULATIF!C127)</f>
        <v/>
      </c>
      <c r="D117" s="69"/>
      <c r="E117" s="70"/>
      <c r="F117" s="69"/>
      <c r="G117" s="89"/>
    </row>
    <row r="118" spans="1:7" x14ac:dyDescent="0.2">
      <c r="A118" s="50" t="str">
        <f>IF(ISBLANK(RECAPITULATIF!A128),"",RECAPITULATIF!A128)</f>
        <v/>
      </c>
      <c r="B118" s="50" t="str">
        <f>IF(ISBLANK(RECAPITULATIF!B128),"",RECAPITULATIF!B128)</f>
        <v/>
      </c>
      <c r="C118" s="50" t="str">
        <f>IF(ISBLANK(RECAPITULATIF!C128),"",RECAPITULATIF!C128)</f>
        <v/>
      </c>
      <c r="D118" s="69"/>
      <c r="E118" s="70"/>
      <c r="F118" s="69"/>
      <c r="G118" s="89"/>
    </row>
    <row r="119" spans="1:7" x14ac:dyDescent="0.2">
      <c r="A119" s="50" t="str">
        <f>IF(ISBLANK(RECAPITULATIF!A129),"",RECAPITULATIF!A129)</f>
        <v/>
      </c>
      <c r="B119" s="50" t="str">
        <f>IF(ISBLANK(RECAPITULATIF!B129),"",RECAPITULATIF!B129)</f>
        <v/>
      </c>
      <c r="C119" s="50" t="str">
        <f>IF(ISBLANK(RECAPITULATIF!C129),"",RECAPITULATIF!C129)</f>
        <v/>
      </c>
      <c r="D119" s="69"/>
      <c r="E119" s="70"/>
      <c r="F119" s="69"/>
      <c r="G119" s="89"/>
    </row>
    <row r="120" spans="1:7" x14ac:dyDescent="0.2">
      <c r="A120" s="50" t="str">
        <f>IF(ISBLANK(RECAPITULATIF!A130),"",RECAPITULATIF!A130)</f>
        <v/>
      </c>
      <c r="B120" s="50" t="str">
        <f>IF(ISBLANK(RECAPITULATIF!B130),"",RECAPITULATIF!B130)</f>
        <v/>
      </c>
      <c r="C120" s="50" t="str">
        <f>IF(ISBLANK(RECAPITULATIF!C130),"",RECAPITULATIF!C130)</f>
        <v/>
      </c>
      <c r="D120" s="69"/>
      <c r="E120" s="70"/>
      <c r="F120" s="69"/>
      <c r="G120" s="89"/>
    </row>
    <row r="121" spans="1:7" x14ac:dyDescent="0.2">
      <c r="A121" s="50" t="str">
        <f>IF(ISBLANK(RECAPITULATIF!A131),"",RECAPITULATIF!A131)</f>
        <v/>
      </c>
      <c r="B121" s="50" t="str">
        <f>IF(ISBLANK(RECAPITULATIF!B131),"",RECAPITULATIF!B131)</f>
        <v/>
      </c>
      <c r="C121" s="50" t="str">
        <f>IF(ISBLANK(RECAPITULATIF!C131),"",RECAPITULATIF!C131)</f>
        <v/>
      </c>
      <c r="D121" s="69"/>
      <c r="E121" s="70"/>
      <c r="F121" s="69"/>
      <c r="G121" s="89"/>
    </row>
    <row r="122" spans="1:7" x14ac:dyDescent="0.2">
      <c r="A122" s="50" t="str">
        <f>IF(ISBLANK(RECAPITULATIF!A132),"",RECAPITULATIF!A132)</f>
        <v/>
      </c>
      <c r="B122" s="50" t="str">
        <f>IF(ISBLANK(RECAPITULATIF!B132),"",RECAPITULATIF!B132)</f>
        <v/>
      </c>
      <c r="C122" s="50" t="str">
        <f>IF(ISBLANK(RECAPITULATIF!C132),"",RECAPITULATIF!C132)</f>
        <v/>
      </c>
      <c r="D122" s="69"/>
      <c r="E122" s="70"/>
      <c r="F122" s="69"/>
      <c r="G122" s="89"/>
    </row>
    <row r="123" spans="1:7" x14ac:dyDescent="0.2">
      <c r="A123" s="50" t="str">
        <f>IF(ISBLANK(RECAPITULATIF!A133),"",RECAPITULATIF!A133)</f>
        <v/>
      </c>
      <c r="B123" s="50" t="str">
        <f>IF(ISBLANK(RECAPITULATIF!B133),"",RECAPITULATIF!B133)</f>
        <v/>
      </c>
      <c r="C123" s="50" t="str">
        <f>IF(ISBLANK(RECAPITULATIF!C133),"",RECAPITULATIF!C133)</f>
        <v/>
      </c>
      <c r="D123" s="69"/>
      <c r="E123" s="70"/>
      <c r="F123" s="69"/>
      <c r="G123" s="89"/>
    </row>
    <row r="124" spans="1:7" x14ac:dyDescent="0.2">
      <c r="A124" s="50" t="str">
        <f>IF(ISBLANK(RECAPITULATIF!A134),"",RECAPITULATIF!A134)</f>
        <v/>
      </c>
      <c r="B124" s="50" t="str">
        <f>IF(ISBLANK(RECAPITULATIF!B134),"",RECAPITULATIF!B134)</f>
        <v/>
      </c>
      <c r="C124" s="50" t="str">
        <f>IF(ISBLANK(RECAPITULATIF!C134),"",RECAPITULATIF!C134)</f>
        <v/>
      </c>
      <c r="D124" s="69"/>
      <c r="E124" s="70"/>
      <c r="F124" s="69"/>
      <c r="G124" s="89"/>
    </row>
    <row r="125" spans="1:7" x14ac:dyDescent="0.2">
      <c r="A125" s="50" t="str">
        <f>IF(ISBLANK(RECAPITULATIF!A135),"",RECAPITULATIF!A135)</f>
        <v/>
      </c>
      <c r="B125" s="50" t="str">
        <f>IF(ISBLANK(RECAPITULATIF!B135),"",RECAPITULATIF!B135)</f>
        <v/>
      </c>
      <c r="C125" s="50" t="str">
        <f>IF(ISBLANK(RECAPITULATIF!C135),"",RECAPITULATIF!C135)</f>
        <v/>
      </c>
      <c r="D125" s="69"/>
      <c r="E125" s="70"/>
      <c r="F125" s="69"/>
      <c r="G125" s="89"/>
    </row>
    <row r="126" spans="1:7" x14ac:dyDescent="0.2">
      <c r="A126" s="50" t="str">
        <f>IF(ISBLANK(RECAPITULATIF!A136),"",RECAPITULATIF!A136)</f>
        <v/>
      </c>
      <c r="B126" s="50" t="str">
        <f>IF(ISBLANK(RECAPITULATIF!B136),"",RECAPITULATIF!B136)</f>
        <v/>
      </c>
      <c r="C126" s="50" t="str">
        <f>IF(ISBLANK(RECAPITULATIF!C136),"",RECAPITULATIF!C136)</f>
        <v/>
      </c>
      <c r="D126" s="69"/>
      <c r="E126" s="70"/>
      <c r="F126" s="69"/>
      <c r="G126" s="89"/>
    </row>
    <row r="127" spans="1:7" x14ac:dyDescent="0.2">
      <c r="A127" s="50" t="str">
        <f>IF(ISBLANK(RECAPITULATIF!A137),"",RECAPITULATIF!A137)</f>
        <v/>
      </c>
      <c r="B127" s="50" t="str">
        <f>IF(ISBLANK(RECAPITULATIF!B137),"",RECAPITULATIF!B137)</f>
        <v/>
      </c>
      <c r="C127" s="50" t="str">
        <f>IF(ISBLANK(RECAPITULATIF!C137),"",RECAPITULATIF!C137)</f>
        <v/>
      </c>
      <c r="D127" s="69"/>
      <c r="E127" s="70"/>
      <c r="F127" s="69"/>
      <c r="G127" s="89"/>
    </row>
    <row r="128" spans="1:7" x14ac:dyDescent="0.2">
      <c r="A128" s="50" t="str">
        <f>IF(ISBLANK(RECAPITULATIF!A138),"",RECAPITULATIF!A138)</f>
        <v/>
      </c>
      <c r="B128" s="50" t="str">
        <f>IF(ISBLANK(RECAPITULATIF!B138),"",RECAPITULATIF!B138)</f>
        <v/>
      </c>
      <c r="C128" s="50" t="str">
        <f>IF(ISBLANK(RECAPITULATIF!C138),"",RECAPITULATIF!C138)</f>
        <v/>
      </c>
      <c r="D128" s="69"/>
      <c r="E128" s="70"/>
      <c r="F128" s="69"/>
      <c r="G128" s="89"/>
    </row>
    <row r="129" spans="1:7" x14ac:dyDescent="0.2">
      <c r="A129" s="50" t="str">
        <f>IF(ISBLANK(RECAPITULATIF!A139),"",RECAPITULATIF!A139)</f>
        <v/>
      </c>
      <c r="B129" s="50" t="str">
        <f>IF(ISBLANK(RECAPITULATIF!B139),"",RECAPITULATIF!B139)</f>
        <v/>
      </c>
      <c r="C129" s="50" t="str">
        <f>IF(ISBLANK(RECAPITULATIF!C139),"",RECAPITULATIF!C139)</f>
        <v/>
      </c>
      <c r="D129" s="69"/>
      <c r="E129" s="70"/>
      <c r="F129" s="69"/>
      <c r="G129" s="89"/>
    </row>
    <row r="130" spans="1:7" x14ac:dyDescent="0.2">
      <c r="A130" s="50" t="str">
        <f>IF(ISBLANK(RECAPITULATIF!A140),"",RECAPITULATIF!A140)</f>
        <v/>
      </c>
      <c r="B130" s="50" t="str">
        <f>IF(ISBLANK(RECAPITULATIF!B140),"",RECAPITULATIF!B140)</f>
        <v/>
      </c>
      <c r="C130" s="50" t="str">
        <f>IF(ISBLANK(RECAPITULATIF!C140),"",RECAPITULATIF!C140)</f>
        <v/>
      </c>
      <c r="D130" s="69"/>
      <c r="E130" s="70"/>
      <c r="F130" s="69"/>
      <c r="G130" s="89"/>
    </row>
    <row r="131" spans="1:7" x14ac:dyDescent="0.2">
      <c r="A131" s="50" t="str">
        <f>IF(ISBLANK(RECAPITULATIF!A141),"",RECAPITULATIF!A141)</f>
        <v/>
      </c>
      <c r="B131" s="50" t="str">
        <f>IF(ISBLANK(RECAPITULATIF!B141),"",RECAPITULATIF!B141)</f>
        <v/>
      </c>
      <c r="C131" s="50" t="str">
        <f>IF(ISBLANK(RECAPITULATIF!C141),"",RECAPITULATIF!C141)</f>
        <v/>
      </c>
      <c r="D131" s="69"/>
      <c r="E131" s="70"/>
      <c r="F131" s="69"/>
      <c r="G131" s="89"/>
    </row>
    <row r="132" spans="1:7" x14ac:dyDescent="0.2">
      <c r="A132" s="50" t="str">
        <f>IF(ISBLANK(RECAPITULATIF!A142),"",RECAPITULATIF!A142)</f>
        <v/>
      </c>
      <c r="B132" s="50" t="str">
        <f>IF(ISBLANK(RECAPITULATIF!B142),"",RECAPITULATIF!B142)</f>
        <v/>
      </c>
      <c r="C132" s="50" t="str">
        <f>IF(ISBLANK(RECAPITULATIF!C142),"",RECAPITULATIF!C142)</f>
        <v/>
      </c>
      <c r="D132" s="69"/>
      <c r="E132" s="70"/>
      <c r="F132" s="69"/>
      <c r="G132" s="89"/>
    </row>
    <row r="133" spans="1:7" x14ac:dyDescent="0.2">
      <c r="A133" s="50" t="str">
        <f>IF(ISBLANK(RECAPITULATIF!A143),"",RECAPITULATIF!A143)</f>
        <v/>
      </c>
      <c r="B133" s="50" t="str">
        <f>IF(ISBLANK(RECAPITULATIF!B143),"",RECAPITULATIF!B143)</f>
        <v/>
      </c>
      <c r="C133" s="50" t="str">
        <f>IF(ISBLANK(RECAPITULATIF!C143),"",RECAPITULATIF!C143)</f>
        <v/>
      </c>
      <c r="D133" s="69"/>
      <c r="E133" s="70"/>
      <c r="F133" s="69"/>
      <c r="G133" s="89"/>
    </row>
    <row r="134" spans="1:7" x14ac:dyDescent="0.2">
      <c r="A134" s="50" t="str">
        <f>IF(ISBLANK(RECAPITULATIF!A144),"",RECAPITULATIF!A144)</f>
        <v/>
      </c>
      <c r="B134" s="50" t="str">
        <f>IF(ISBLANK(RECAPITULATIF!B144),"",RECAPITULATIF!B144)</f>
        <v/>
      </c>
      <c r="C134" s="50" t="str">
        <f>IF(ISBLANK(RECAPITULATIF!C144),"",RECAPITULATIF!C144)</f>
        <v/>
      </c>
      <c r="D134" s="69"/>
      <c r="E134" s="70"/>
      <c r="F134" s="69"/>
      <c r="G134" s="89"/>
    </row>
    <row r="135" spans="1:7" x14ac:dyDescent="0.2">
      <c r="A135" s="50" t="str">
        <f>IF(ISBLANK(RECAPITULATIF!A145),"",RECAPITULATIF!A145)</f>
        <v/>
      </c>
      <c r="B135" s="50" t="str">
        <f>IF(ISBLANK(RECAPITULATIF!B145),"",RECAPITULATIF!B145)</f>
        <v/>
      </c>
      <c r="C135" s="50" t="str">
        <f>IF(ISBLANK(RECAPITULATIF!C145),"",RECAPITULATIF!C145)</f>
        <v/>
      </c>
      <c r="D135" s="69"/>
      <c r="E135" s="70"/>
      <c r="F135" s="69"/>
      <c r="G135" s="89"/>
    </row>
    <row r="136" spans="1:7" x14ac:dyDescent="0.2">
      <c r="A136" s="50" t="str">
        <f>IF(ISBLANK(RECAPITULATIF!A146),"",RECAPITULATIF!A146)</f>
        <v/>
      </c>
      <c r="B136" s="50" t="str">
        <f>IF(ISBLANK(RECAPITULATIF!B146),"",RECAPITULATIF!B146)</f>
        <v/>
      </c>
      <c r="C136" s="50" t="str">
        <f>IF(ISBLANK(RECAPITULATIF!C146),"",RECAPITULATIF!C146)</f>
        <v/>
      </c>
      <c r="D136" s="69"/>
      <c r="E136" s="70"/>
      <c r="F136" s="69"/>
      <c r="G136" s="89"/>
    </row>
    <row r="137" spans="1:7" x14ac:dyDescent="0.2">
      <c r="A137" s="50" t="str">
        <f>IF(ISBLANK(RECAPITULATIF!A147),"",RECAPITULATIF!A147)</f>
        <v/>
      </c>
      <c r="B137" s="50" t="str">
        <f>IF(ISBLANK(RECAPITULATIF!B147),"",RECAPITULATIF!B147)</f>
        <v/>
      </c>
      <c r="C137" s="50" t="str">
        <f>IF(ISBLANK(RECAPITULATIF!C147),"",RECAPITULATIF!C147)</f>
        <v/>
      </c>
      <c r="D137" s="69"/>
      <c r="E137" s="70"/>
      <c r="F137" s="69"/>
      <c r="G137" s="89"/>
    </row>
    <row r="138" spans="1:7" x14ac:dyDescent="0.2">
      <c r="A138" s="50" t="str">
        <f>IF(ISBLANK(RECAPITULATIF!A148),"",RECAPITULATIF!A148)</f>
        <v/>
      </c>
      <c r="B138" s="50" t="str">
        <f>IF(ISBLANK(RECAPITULATIF!B148),"",RECAPITULATIF!B148)</f>
        <v/>
      </c>
      <c r="C138" s="50" t="str">
        <f>IF(ISBLANK(RECAPITULATIF!C148),"",RECAPITULATIF!C148)</f>
        <v/>
      </c>
      <c r="D138" s="69"/>
      <c r="E138" s="70"/>
      <c r="F138" s="69"/>
      <c r="G138" s="89"/>
    </row>
    <row r="139" spans="1:7" x14ac:dyDescent="0.2">
      <c r="A139" s="50" t="str">
        <f>IF(ISBLANK(RECAPITULATIF!A149),"",RECAPITULATIF!A149)</f>
        <v/>
      </c>
      <c r="B139" s="50" t="str">
        <f>IF(ISBLANK(RECAPITULATIF!B149),"",RECAPITULATIF!B149)</f>
        <v/>
      </c>
      <c r="C139" s="50" t="str">
        <f>IF(ISBLANK(RECAPITULATIF!C149),"",RECAPITULATIF!C149)</f>
        <v/>
      </c>
      <c r="D139" s="69"/>
      <c r="E139" s="70"/>
      <c r="F139" s="69"/>
      <c r="G139" s="89"/>
    </row>
    <row r="140" spans="1:7" x14ac:dyDescent="0.2">
      <c r="A140" s="50" t="str">
        <f>IF(ISBLANK(RECAPITULATIF!A150),"",RECAPITULATIF!A150)</f>
        <v/>
      </c>
      <c r="B140" s="50" t="str">
        <f>IF(ISBLANK(RECAPITULATIF!B150),"",RECAPITULATIF!B150)</f>
        <v/>
      </c>
      <c r="C140" s="50" t="str">
        <f>IF(ISBLANK(RECAPITULATIF!C150),"",RECAPITULATIF!C150)</f>
        <v/>
      </c>
      <c r="D140" s="69"/>
      <c r="E140" s="70"/>
      <c r="F140" s="69"/>
      <c r="G140" s="89"/>
    </row>
    <row r="141" spans="1:7" x14ac:dyDescent="0.2">
      <c r="A141" s="50" t="str">
        <f>IF(ISBLANK(RECAPITULATIF!A151),"",RECAPITULATIF!A151)</f>
        <v/>
      </c>
      <c r="B141" s="50" t="str">
        <f>IF(ISBLANK(RECAPITULATIF!B151),"",RECAPITULATIF!B151)</f>
        <v/>
      </c>
      <c r="C141" s="50" t="str">
        <f>IF(ISBLANK(RECAPITULATIF!C151),"",RECAPITULATIF!C151)</f>
        <v/>
      </c>
      <c r="D141" s="69"/>
      <c r="E141" s="70"/>
      <c r="F141" s="69"/>
      <c r="G141" s="89"/>
    </row>
    <row r="142" spans="1:7" x14ac:dyDescent="0.2">
      <c r="A142" s="50" t="str">
        <f>IF(ISBLANK(RECAPITULATIF!A152),"",RECAPITULATIF!A152)</f>
        <v/>
      </c>
      <c r="B142" s="50" t="str">
        <f>IF(ISBLANK(RECAPITULATIF!B152),"",RECAPITULATIF!B152)</f>
        <v/>
      </c>
      <c r="C142" s="50" t="str">
        <f>IF(ISBLANK(RECAPITULATIF!C152),"",RECAPITULATIF!C152)</f>
        <v/>
      </c>
      <c r="D142" s="69"/>
      <c r="E142" s="70"/>
      <c r="F142" s="69"/>
      <c r="G142" s="89"/>
    </row>
    <row r="143" spans="1:7" x14ac:dyDescent="0.2">
      <c r="A143" s="50" t="str">
        <f>IF(ISBLANK(RECAPITULATIF!A153),"",RECAPITULATIF!A153)</f>
        <v/>
      </c>
      <c r="B143" s="50" t="str">
        <f>IF(ISBLANK(RECAPITULATIF!B153),"",RECAPITULATIF!B153)</f>
        <v/>
      </c>
      <c r="C143" s="50" t="str">
        <f>IF(ISBLANK(RECAPITULATIF!C153),"",RECAPITULATIF!C153)</f>
        <v/>
      </c>
      <c r="D143" s="69"/>
      <c r="E143" s="70"/>
      <c r="F143" s="69"/>
      <c r="G143" s="89"/>
    </row>
    <row r="144" spans="1:7" x14ac:dyDescent="0.2">
      <c r="A144" s="50" t="str">
        <f>IF(ISBLANK(RECAPITULATIF!A154),"",RECAPITULATIF!A154)</f>
        <v/>
      </c>
      <c r="B144" s="50" t="str">
        <f>IF(ISBLANK(RECAPITULATIF!B154),"",RECAPITULATIF!B154)</f>
        <v/>
      </c>
      <c r="C144" s="50" t="str">
        <f>IF(ISBLANK(RECAPITULATIF!C154),"",RECAPITULATIF!C154)</f>
        <v/>
      </c>
      <c r="D144" s="69"/>
      <c r="E144" s="70"/>
      <c r="F144" s="69"/>
      <c r="G144" s="89"/>
    </row>
    <row r="145" spans="1:7" x14ac:dyDescent="0.2">
      <c r="A145" s="50" t="str">
        <f>IF(ISBLANK(RECAPITULATIF!A155),"",RECAPITULATIF!A155)</f>
        <v/>
      </c>
      <c r="B145" s="50" t="str">
        <f>IF(ISBLANK(RECAPITULATIF!B155),"",RECAPITULATIF!B155)</f>
        <v/>
      </c>
      <c r="C145" s="50" t="str">
        <f>IF(ISBLANK(RECAPITULATIF!C155),"",RECAPITULATIF!C155)</f>
        <v/>
      </c>
      <c r="D145" s="69"/>
      <c r="E145" s="70"/>
      <c r="F145" s="69"/>
      <c r="G145" s="89"/>
    </row>
    <row r="146" spans="1:7" x14ac:dyDescent="0.2">
      <c r="A146" s="50" t="str">
        <f>IF(ISBLANK(RECAPITULATIF!A156),"",RECAPITULATIF!A156)</f>
        <v/>
      </c>
      <c r="B146" s="50" t="str">
        <f>IF(ISBLANK(RECAPITULATIF!B156),"",RECAPITULATIF!B156)</f>
        <v/>
      </c>
      <c r="C146" s="50" t="str">
        <f>IF(ISBLANK(RECAPITULATIF!C156),"",RECAPITULATIF!C156)</f>
        <v/>
      </c>
      <c r="D146" s="69"/>
      <c r="E146" s="70"/>
      <c r="F146" s="69"/>
      <c r="G146" s="89"/>
    </row>
    <row r="147" spans="1:7" x14ac:dyDescent="0.2">
      <c r="A147" s="50" t="str">
        <f>IF(ISBLANK(RECAPITULATIF!A157),"",RECAPITULATIF!A157)</f>
        <v/>
      </c>
      <c r="B147" s="50" t="str">
        <f>IF(ISBLANK(RECAPITULATIF!B157),"",RECAPITULATIF!B157)</f>
        <v/>
      </c>
      <c r="C147" s="50" t="str">
        <f>IF(ISBLANK(RECAPITULATIF!C157),"",RECAPITULATIF!C157)</f>
        <v/>
      </c>
      <c r="D147" s="69"/>
      <c r="E147" s="70"/>
      <c r="F147" s="69"/>
      <c r="G147" s="89"/>
    </row>
    <row r="148" spans="1:7" x14ac:dyDescent="0.2">
      <c r="A148" s="50" t="str">
        <f>IF(ISBLANK(RECAPITULATIF!A158),"",RECAPITULATIF!A158)</f>
        <v/>
      </c>
      <c r="B148" s="50" t="str">
        <f>IF(ISBLANK(RECAPITULATIF!B158),"",RECAPITULATIF!B158)</f>
        <v/>
      </c>
      <c r="C148" s="50" t="str">
        <f>IF(ISBLANK(RECAPITULATIF!C158),"",RECAPITULATIF!C158)</f>
        <v/>
      </c>
      <c r="D148" s="69"/>
      <c r="E148" s="70"/>
      <c r="F148" s="69"/>
      <c r="G148" s="89"/>
    </row>
    <row r="149" spans="1:7" x14ac:dyDescent="0.2">
      <c r="A149" s="50" t="str">
        <f>IF(ISBLANK(RECAPITULATIF!A159),"",RECAPITULATIF!A159)</f>
        <v/>
      </c>
      <c r="B149" s="50" t="str">
        <f>IF(ISBLANK(RECAPITULATIF!B159),"",RECAPITULATIF!B159)</f>
        <v/>
      </c>
      <c r="C149" s="50" t="str">
        <f>IF(ISBLANK(RECAPITULATIF!C159),"",RECAPITULATIF!C159)</f>
        <v/>
      </c>
      <c r="D149" s="69"/>
      <c r="E149" s="70"/>
      <c r="F149" s="69"/>
      <c r="G149" s="89"/>
    </row>
    <row r="150" spans="1:7" x14ac:dyDescent="0.2">
      <c r="A150" s="50" t="str">
        <f>IF(ISBLANK(RECAPITULATIF!A160),"",RECAPITULATIF!A160)</f>
        <v/>
      </c>
      <c r="B150" s="50" t="str">
        <f>IF(ISBLANK(RECAPITULATIF!B160),"",RECAPITULATIF!B160)</f>
        <v/>
      </c>
      <c r="C150" s="50" t="str">
        <f>IF(ISBLANK(RECAPITULATIF!C160),"",RECAPITULATIF!C160)</f>
        <v/>
      </c>
      <c r="D150" s="69"/>
      <c r="E150" s="70"/>
      <c r="F150" s="69"/>
      <c r="G150" s="89"/>
    </row>
    <row r="151" spans="1:7" x14ac:dyDescent="0.2">
      <c r="A151" s="50" t="str">
        <f>IF(ISBLANK(RECAPITULATIF!A161),"",RECAPITULATIF!A161)</f>
        <v/>
      </c>
      <c r="B151" s="50" t="str">
        <f>IF(ISBLANK(RECAPITULATIF!B161),"",RECAPITULATIF!B161)</f>
        <v/>
      </c>
      <c r="C151" s="50" t="str">
        <f>IF(ISBLANK(RECAPITULATIF!C161),"",RECAPITULATIF!C161)</f>
        <v/>
      </c>
      <c r="D151" s="69"/>
      <c r="E151" s="70"/>
      <c r="F151" s="69"/>
      <c r="G151" s="89"/>
    </row>
    <row r="152" spans="1:7" x14ac:dyDescent="0.2">
      <c r="A152" s="50" t="str">
        <f>IF(ISBLANK(RECAPITULATIF!A162),"",RECAPITULATIF!A162)</f>
        <v/>
      </c>
      <c r="B152" s="50" t="str">
        <f>IF(ISBLANK(RECAPITULATIF!B162),"",RECAPITULATIF!B162)</f>
        <v/>
      </c>
      <c r="C152" s="50" t="str">
        <f>IF(ISBLANK(RECAPITULATIF!C162),"",RECAPITULATIF!C162)</f>
        <v/>
      </c>
      <c r="D152" s="69"/>
      <c r="E152" s="70"/>
      <c r="F152" s="69"/>
      <c r="G152" s="89"/>
    </row>
    <row r="153" spans="1:7" x14ac:dyDescent="0.2">
      <c r="A153" s="50" t="str">
        <f>IF(ISBLANK(RECAPITULATIF!A163),"",RECAPITULATIF!A163)</f>
        <v/>
      </c>
      <c r="B153" s="50" t="str">
        <f>IF(ISBLANK(RECAPITULATIF!B163),"",RECAPITULATIF!B163)</f>
        <v/>
      </c>
      <c r="C153" s="50" t="str">
        <f>IF(ISBLANK(RECAPITULATIF!C163),"",RECAPITULATIF!C163)</f>
        <v/>
      </c>
      <c r="D153" s="69"/>
      <c r="E153" s="70"/>
      <c r="F153" s="69"/>
      <c r="G153" s="89"/>
    </row>
    <row r="154" spans="1:7" x14ac:dyDescent="0.2">
      <c r="A154" s="50" t="str">
        <f>IF(ISBLANK(RECAPITULATIF!A164),"",RECAPITULATIF!A164)</f>
        <v/>
      </c>
      <c r="B154" s="50" t="str">
        <f>IF(ISBLANK(RECAPITULATIF!B164),"",RECAPITULATIF!B164)</f>
        <v/>
      </c>
      <c r="C154" s="50" t="str">
        <f>IF(ISBLANK(RECAPITULATIF!C164),"",RECAPITULATIF!C164)</f>
        <v/>
      </c>
      <c r="D154" s="69"/>
      <c r="E154" s="70"/>
      <c r="F154" s="69"/>
      <c r="G154" s="89"/>
    </row>
    <row r="155" spans="1:7" x14ac:dyDescent="0.2">
      <c r="A155" s="50" t="str">
        <f>IF(ISBLANK(RECAPITULATIF!A165),"",RECAPITULATIF!A165)</f>
        <v/>
      </c>
      <c r="B155" s="50" t="str">
        <f>IF(ISBLANK(RECAPITULATIF!B165),"",RECAPITULATIF!B165)</f>
        <v/>
      </c>
      <c r="C155" s="50" t="str">
        <f>IF(ISBLANK(RECAPITULATIF!C165),"",RECAPITULATIF!C165)</f>
        <v/>
      </c>
      <c r="D155" s="69"/>
      <c r="E155" s="70"/>
      <c r="F155" s="69"/>
      <c r="G155" s="89"/>
    </row>
    <row r="156" spans="1:7" x14ac:dyDescent="0.2">
      <c r="A156" s="50" t="str">
        <f>IF(ISBLANK(RECAPITULATIF!A166),"",RECAPITULATIF!A166)</f>
        <v/>
      </c>
      <c r="B156" s="50" t="str">
        <f>IF(ISBLANK(RECAPITULATIF!B166),"",RECAPITULATIF!B166)</f>
        <v/>
      </c>
      <c r="C156" s="50" t="str">
        <f>IF(ISBLANK(RECAPITULATIF!C166),"",RECAPITULATIF!C166)</f>
        <v/>
      </c>
      <c r="D156" s="69"/>
      <c r="E156" s="70"/>
      <c r="F156" s="69"/>
      <c r="G156" s="89"/>
    </row>
    <row r="157" spans="1:7" x14ac:dyDescent="0.2">
      <c r="A157" s="50" t="str">
        <f>IF(ISBLANK(RECAPITULATIF!A167),"",RECAPITULATIF!A167)</f>
        <v/>
      </c>
      <c r="B157" s="50" t="str">
        <f>IF(ISBLANK(RECAPITULATIF!B167),"",RECAPITULATIF!B167)</f>
        <v/>
      </c>
      <c r="C157" s="50" t="str">
        <f>IF(ISBLANK(RECAPITULATIF!C167),"",RECAPITULATIF!C167)</f>
        <v/>
      </c>
      <c r="D157" s="69"/>
      <c r="E157" s="70"/>
      <c r="F157" s="69"/>
      <c r="G157" s="89"/>
    </row>
    <row r="158" spans="1:7" x14ac:dyDescent="0.2">
      <c r="A158" s="50" t="str">
        <f>IF(ISBLANK(RECAPITULATIF!A168),"",RECAPITULATIF!A168)</f>
        <v/>
      </c>
      <c r="B158" s="50" t="str">
        <f>IF(ISBLANK(RECAPITULATIF!B168),"",RECAPITULATIF!B168)</f>
        <v/>
      </c>
      <c r="C158" s="50" t="str">
        <f>IF(ISBLANK(RECAPITULATIF!C168),"",RECAPITULATIF!C168)</f>
        <v/>
      </c>
      <c r="D158" s="69"/>
      <c r="E158" s="70"/>
      <c r="F158" s="69"/>
      <c r="G158" s="89"/>
    </row>
    <row r="159" spans="1:7" x14ac:dyDescent="0.2">
      <c r="A159" s="50" t="str">
        <f>IF(ISBLANK(RECAPITULATIF!A169),"",RECAPITULATIF!A169)</f>
        <v/>
      </c>
      <c r="B159" s="50" t="str">
        <f>IF(ISBLANK(RECAPITULATIF!B169),"",RECAPITULATIF!B169)</f>
        <v/>
      </c>
      <c r="C159" s="50" t="str">
        <f>IF(ISBLANK(RECAPITULATIF!C169),"",RECAPITULATIF!C169)</f>
        <v/>
      </c>
      <c r="D159" s="69"/>
      <c r="E159" s="70"/>
      <c r="F159" s="69"/>
      <c r="G159" s="89"/>
    </row>
    <row r="160" spans="1:7" x14ac:dyDescent="0.2">
      <c r="A160" s="50" t="str">
        <f>IF(ISBLANK(RECAPITULATIF!A170),"",RECAPITULATIF!A170)</f>
        <v/>
      </c>
      <c r="B160" s="50" t="str">
        <f>IF(ISBLANK(RECAPITULATIF!B170),"",RECAPITULATIF!B170)</f>
        <v/>
      </c>
      <c r="C160" s="50" t="str">
        <f>IF(ISBLANK(RECAPITULATIF!C170),"",RECAPITULATIF!C170)</f>
        <v/>
      </c>
      <c r="D160" s="69"/>
      <c r="E160" s="70"/>
      <c r="F160" s="69"/>
      <c r="G160" s="89"/>
    </row>
    <row r="161" spans="1:7" x14ac:dyDescent="0.2">
      <c r="A161" s="50" t="str">
        <f>IF(ISBLANK(RECAPITULATIF!A171),"",RECAPITULATIF!A171)</f>
        <v/>
      </c>
      <c r="B161" s="50" t="str">
        <f>IF(ISBLANK(RECAPITULATIF!B171),"",RECAPITULATIF!B171)</f>
        <v/>
      </c>
      <c r="C161" s="50" t="str">
        <f>IF(ISBLANK(RECAPITULATIF!C171),"",RECAPITULATIF!C171)</f>
        <v/>
      </c>
      <c r="D161" s="69"/>
      <c r="E161" s="70"/>
      <c r="F161" s="69"/>
      <c r="G161" s="89"/>
    </row>
    <row r="162" spans="1:7" x14ac:dyDescent="0.2">
      <c r="A162" s="50" t="str">
        <f>IF(ISBLANK(RECAPITULATIF!A172),"",RECAPITULATIF!A172)</f>
        <v/>
      </c>
      <c r="B162" s="50" t="str">
        <f>IF(ISBLANK(RECAPITULATIF!B172),"",RECAPITULATIF!B172)</f>
        <v/>
      </c>
      <c r="C162" s="50" t="str">
        <f>IF(ISBLANK(RECAPITULATIF!C172),"",RECAPITULATIF!C172)</f>
        <v/>
      </c>
      <c r="D162" s="69"/>
      <c r="E162" s="70"/>
      <c r="F162" s="69"/>
      <c r="G162" s="89"/>
    </row>
    <row r="163" spans="1:7" x14ac:dyDescent="0.2">
      <c r="A163" s="50" t="str">
        <f>IF(ISBLANK(RECAPITULATIF!A173),"",RECAPITULATIF!A173)</f>
        <v/>
      </c>
      <c r="B163" s="50" t="str">
        <f>IF(ISBLANK(RECAPITULATIF!B173),"",RECAPITULATIF!B173)</f>
        <v/>
      </c>
      <c r="C163" s="50" t="str">
        <f>IF(ISBLANK(RECAPITULATIF!C173),"",RECAPITULATIF!C173)</f>
        <v/>
      </c>
      <c r="D163" s="69"/>
      <c r="E163" s="70"/>
      <c r="F163" s="69"/>
      <c r="G163" s="89"/>
    </row>
    <row r="164" spans="1:7" x14ac:dyDescent="0.2">
      <c r="A164" s="50" t="str">
        <f>IF(ISBLANK(RECAPITULATIF!A174),"",RECAPITULATIF!A174)</f>
        <v/>
      </c>
      <c r="B164" s="50" t="str">
        <f>IF(ISBLANK(RECAPITULATIF!B174),"",RECAPITULATIF!B174)</f>
        <v/>
      </c>
      <c r="C164" s="50" t="str">
        <f>IF(ISBLANK(RECAPITULATIF!C174),"",RECAPITULATIF!C174)</f>
        <v/>
      </c>
      <c r="D164" s="69"/>
      <c r="E164" s="70"/>
      <c r="F164" s="69"/>
      <c r="G164" s="89"/>
    </row>
    <row r="165" spans="1:7" x14ac:dyDescent="0.2">
      <c r="A165" s="50" t="str">
        <f>IF(ISBLANK(RECAPITULATIF!A175),"",RECAPITULATIF!A175)</f>
        <v/>
      </c>
      <c r="B165" s="50" t="str">
        <f>IF(ISBLANK(RECAPITULATIF!B175),"",RECAPITULATIF!B175)</f>
        <v/>
      </c>
      <c r="C165" s="50" t="str">
        <f>IF(ISBLANK(RECAPITULATIF!C175),"",RECAPITULATIF!C175)</f>
        <v/>
      </c>
      <c r="D165" s="69"/>
      <c r="E165" s="70"/>
      <c r="F165" s="69"/>
      <c r="G165" s="89"/>
    </row>
    <row r="166" spans="1:7" x14ac:dyDescent="0.2">
      <c r="A166" s="50" t="str">
        <f>IF(ISBLANK(RECAPITULATIF!A176),"",RECAPITULATIF!A176)</f>
        <v/>
      </c>
      <c r="B166" s="50" t="str">
        <f>IF(ISBLANK(RECAPITULATIF!B176),"",RECAPITULATIF!B176)</f>
        <v/>
      </c>
      <c r="C166" s="50" t="str">
        <f>IF(ISBLANK(RECAPITULATIF!C176),"",RECAPITULATIF!C176)</f>
        <v/>
      </c>
      <c r="D166" s="69"/>
      <c r="E166" s="70"/>
      <c r="F166" s="69"/>
      <c r="G166" s="89"/>
    </row>
    <row r="167" spans="1:7" x14ac:dyDescent="0.2">
      <c r="A167" s="50" t="str">
        <f>IF(ISBLANK(RECAPITULATIF!A177),"",RECAPITULATIF!A177)</f>
        <v/>
      </c>
      <c r="B167" s="50" t="str">
        <f>IF(ISBLANK(RECAPITULATIF!B177),"",RECAPITULATIF!B177)</f>
        <v/>
      </c>
      <c r="C167" s="50" t="str">
        <f>IF(ISBLANK(RECAPITULATIF!C177),"",RECAPITULATIF!C177)</f>
        <v/>
      </c>
      <c r="D167" s="69"/>
      <c r="E167" s="70"/>
      <c r="F167" s="69"/>
      <c r="G167" s="89"/>
    </row>
    <row r="168" spans="1:7" x14ac:dyDescent="0.2">
      <c r="A168" s="50" t="str">
        <f>IF(ISBLANK(RECAPITULATIF!A178),"",RECAPITULATIF!A178)</f>
        <v/>
      </c>
      <c r="B168" s="50" t="str">
        <f>IF(ISBLANK(RECAPITULATIF!B178),"",RECAPITULATIF!B178)</f>
        <v/>
      </c>
      <c r="C168" s="50" t="str">
        <f>IF(ISBLANK(RECAPITULATIF!C178),"",RECAPITULATIF!C178)</f>
        <v/>
      </c>
      <c r="D168" s="69"/>
      <c r="E168" s="70"/>
      <c r="F168" s="69"/>
      <c r="G168" s="89"/>
    </row>
    <row r="169" spans="1:7" x14ac:dyDescent="0.2">
      <c r="A169" s="50" t="str">
        <f>IF(ISBLANK(RECAPITULATIF!A179),"",RECAPITULATIF!A179)</f>
        <v/>
      </c>
      <c r="B169" s="50" t="str">
        <f>IF(ISBLANK(RECAPITULATIF!B179),"",RECAPITULATIF!B179)</f>
        <v/>
      </c>
      <c r="C169" s="50" t="str">
        <f>IF(ISBLANK(RECAPITULATIF!C179),"",RECAPITULATIF!C179)</f>
        <v/>
      </c>
      <c r="D169" s="69"/>
      <c r="E169" s="70"/>
      <c r="F169" s="69"/>
      <c r="G169" s="89"/>
    </row>
    <row r="170" spans="1:7" x14ac:dyDescent="0.2">
      <c r="A170" s="50" t="str">
        <f>IF(ISBLANK(RECAPITULATIF!A180),"",RECAPITULATIF!A180)</f>
        <v/>
      </c>
      <c r="B170" s="50" t="str">
        <f>IF(ISBLANK(RECAPITULATIF!B180),"",RECAPITULATIF!B180)</f>
        <v/>
      </c>
      <c r="C170" s="50" t="str">
        <f>IF(ISBLANK(RECAPITULATIF!C180),"",RECAPITULATIF!C180)</f>
        <v/>
      </c>
      <c r="D170" s="69"/>
      <c r="E170" s="70"/>
      <c r="F170" s="69"/>
      <c r="G170" s="89"/>
    </row>
    <row r="171" spans="1:7" x14ac:dyDescent="0.2">
      <c r="A171" s="50" t="str">
        <f>IF(ISBLANK(RECAPITULATIF!A181),"",RECAPITULATIF!A181)</f>
        <v/>
      </c>
      <c r="B171" s="50" t="str">
        <f>IF(ISBLANK(RECAPITULATIF!B181),"",RECAPITULATIF!B181)</f>
        <v/>
      </c>
      <c r="C171" s="50" t="str">
        <f>IF(ISBLANK(RECAPITULATIF!C181),"",RECAPITULATIF!C181)</f>
        <v/>
      </c>
      <c r="D171" s="69"/>
      <c r="E171" s="70"/>
      <c r="F171" s="69"/>
      <c r="G171" s="89"/>
    </row>
    <row r="172" spans="1:7" x14ac:dyDescent="0.2">
      <c r="A172" s="50" t="str">
        <f>IF(ISBLANK(RECAPITULATIF!A182),"",RECAPITULATIF!A182)</f>
        <v/>
      </c>
      <c r="B172" s="50" t="str">
        <f>IF(ISBLANK(RECAPITULATIF!B182),"",RECAPITULATIF!B182)</f>
        <v/>
      </c>
      <c r="C172" s="50" t="str">
        <f>IF(ISBLANK(RECAPITULATIF!C182),"",RECAPITULATIF!C182)</f>
        <v/>
      </c>
      <c r="D172" s="69"/>
      <c r="E172" s="70"/>
      <c r="F172" s="69"/>
      <c r="G172" s="89"/>
    </row>
    <row r="173" spans="1:7" x14ac:dyDescent="0.2">
      <c r="A173" s="50" t="str">
        <f>IF(ISBLANK(RECAPITULATIF!A183),"",RECAPITULATIF!A183)</f>
        <v/>
      </c>
      <c r="B173" s="50" t="str">
        <f>IF(ISBLANK(RECAPITULATIF!B183),"",RECAPITULATIF!B183)</f>
        <v/>
      </c>
      <c r="C173" s="50" t="str">
        <f>IF(ISBLANK(RECAPITULATIF!C183),"",RECAPITULATIF!C183)</f>
        <v/>
      </c>
      <c r="D173" s="69"/>
      <c r="E173" s="70"/>
      <c r="F173" s="69"/>
      <c r="G173" s="89"/>
    </row>
    <row r="174" spans="1:7" x14ac:dyDescent="0.2">
      <c r="A174" s="50" t="str">
        <f>IF(ISBLANK(RECAPITULATIF!A184),"",RECAPITULATIF!A184)</f>
        <v/>
      </c>
      <c r="B174" s="50" t="str">
        <f>IF(ISBLANK(RECAPITULATIF!B184),"",RECAPITULATIF!B184)</f>
        <v/>
      </c>
      <c r="C174" s="50" t="str">
        <f>IF(ISBLANK(RECAPITULATIF!C184),"",RECAPITULATIF!C184)</f>
        <v/>
      </c>
      <c r="D174" s="69"/>
      <c r="E174" s="70"/>
      <c r="F174" s="69"/>
      <c r="G174" s="89"/>
    </row>
    <row r="175" spans="1:7" x14ac:dyDescent="0.2">
      <c r="A175" s="50" t="str">
        <f>IF(ISBLANK(RECAPITULATIF!A185),"",RECAPITULATIF!A185)</f>
        <v/>
      </c>
      <c r="B175" s="50" t="str">
        <f>IF(ISBLANK(RECAPITULATIF!B185),"",RECAPITULATIF!B185)</f>
        <v/>
      </c>
      <c r="C175" s="50" t="str">
        <f>IF(ISBLANK(RECAPITULATIF!C185),"",RECAPITULATIF!C185)</f>
        <v/>
      </c>
      <c r="D175" s="69"/>
      <c r="E175" s="70"/>
      <c r="F175" s="69"/>
      <c r="G175" s="89"/>
    </row>
    <row r="176" spans="1:7" x14ac:dyDescent="0.2">
      <c r="A176" s="50" t="str">
        <f>IF(ISBLANK(RECAPITULATIF!A186),"",RECAPITULATIF!A186)</f>
        <v/>
      </c>
      <c r="B176" s="50" t="str">
        <f>IF(ISBLANK(RECAPITULATIF!B186),"",RECAPITULATIF!B186)</f>
        <v/>
      </c>
      <c r="C176" s="50" t="str">
        <f>IF(ISBLANK(RECAPITULATIF!C186),"",RECAPITULATIF!C186)</f>
        <v/>
      </c>
      <c r="D176" s="69"/>
      <c r="E176" s="70"/>
      <c r="F176" s="69"/>
      <c r="G176" s="89"/>
    </row>
    <row r="177" spans="1:7" x14ac:dyDescent="0.2">
      <c r="A177" s="50" t="str">
        <f>IF(ISBLANK(RECAPITULATIF!A187),"",RECAPITULATIF!A187)</f>
        <v/>
      </c>
      <c r="B177" s="50" t="str">
        <f>IF(ISBLANK(RECAPITULATIF!B187),"",RECAPITULATIF!B187)</f>
        <v/>
      </c>
      <c r="C177" s="50" t="str">
        <f>IF(ISBLANK(RECAPITULATIF!C187),"",RECAPITULATIF!C187)</f>
        <v/>
      </c>
      <c r="D177" s="69"/>
      <c r="E177" s="70"/>
      <c r="F177" s="69"/>
      <c r="G177" s="89"/>
    </row>
    <row r="178" spans="1:7" x14ac:dyDescent="0.2">
      <c r="A178" s="50" t="str">
        <f>IF(ISBLANK(RECAPITULATIF!A188),"",RECAPITULATIF!A188)</f>
        <v/>
      </c>
      <c r="B178" s="50" t="str">
        <f>IF(ISBLANK(RECAPITULATIF!B188),"",RECAPITULATIF!B188)</f>
        <v/>
      </c>
      <c r="C178" s="50" t="str">
        <f>IF(ISBLANK(RECAPITULATIF!C188),"",RECAPITULATIF!C188)</f>
        <v/>
      </c>
      <c r="D178" s="69"/>
      <c r="E178" s="70"/>
      <c r="F178" s="69"/>
      <c r="G178" s="89"/>
    </row>
    <row r="179" spans="1:7" x14ac:dyDescent="0.2">
      <c r="A179" s="50" t="str">
        <f>IF(ISBLANK(RECAPITULATIF!A189),"",RECAPITULATIF!A189)</f>
        <v/>
      </c>
      <c r="B179" s="50" t="str">
        <f>IF(ISBLANK(RECAPITULATIF!B189),"",RECAPITULATIF!B189)</f>
        <v/>
      </c>
      <c r="C179" s="50" t="str">
        <f>IF(ISBLANK(RECAPITULATIF!C189),"",RECAPITULATIF!C189)</f>
        <v/>
      </c>
      <c r="D179" s="69"/>
      <c r="E179" s="70"/>
      <c r="F179" s="69"/>
      <c r="G179" s="89"/>
    </row>
    <row r="180" spans="1:7" x14ac:dyDescent="0.2">
      <c r="A180" s="50" t="str">
        <f>IF(ISBLANK(RECAPITULATIF!A190),"",RECAPITULATIF!A190)</f>
        <v/>
      </c>
      <c r="B180" s="50" t="str">
        <f>IF(ISBLANK(RECAPITULATIF!B190),"",RECAPITULATIF!B190)</f>
        <v/>
      </c>
      <c r="C180" s="50" t="str">
        <f>IF(ISBLANK(RECAPITULATIF!C190),"",RECAPITULATIF!C190)</f>
        <v/>
      </c>
      <c r="D180" s="69"/>
      <c r="E180" s="70"/>
      <c r="F180" s="69"/>
      <c r="G180" s="89"/>
    </row>
    <row r="181" spans="1:7" x14ac:dyDescent="0.2">
      <c r="A181" s="50" t="str">
        <f>IF(ISBLANK(RECAPITULATIF!A191),"",RECAPITULATIF!A191)</f>
        <v/>
      </c>
      <c r="B181" s="50" t="str">
        <f>IF(ISBLANK(RECAPITULATIF!B191),"",RECAPITULATIF!B191)</f>
        <v/>
      </c>
      <c r="C181" s="50" t="str">
        <f>IF(ISBLANK(RECAPITULATIF!C191),"",RECAPITULATIF!C191)</f>
        <v/>
      </c>
      <c r="D181" s="69"/>
      <c r="E181" s="70"/>
      <c r="F181" s="69"/>
      <c r="G181" s="89"/>
    </row>
    <row r="182" spans="1:7" x14ac:dyDescent="0.2">
      <c r="A182" s="50" t="str">
        <f>IF(ISBLANK(RECAPITULATIF!A192),"",RECAPITULATIF!A192)</f>
        <v/>
      </c>
      <c r="B182" s="50" t="str">
        <f>IF(ISBLANK(RECAPITULATIF!B192),"",RECAPITULATIF!B192)</f>
        <v/>
      </c>
      <c r="C182" s="50" t="str">
        <f>IF(ISBLANK(RECAPITULATIF!C192),"",RECAPITULATIF!C192)</f>
        <v/>
      </c>
      <c r="D182" s="69"/>
      <c r="E182" s="70"/>
      <c r="F182" s="69"/>
      <c r="G182" s="89"/>
    </row>
    <row r="183" spans="1:7" x14ac:dyDescent="0.2">
      <c r="A183" s="50" t="str">
        <f>IF(ISBLANK(RECAPITULATIF!A193),"",RECAPITULATIF!A193)</f>
        <v/>
      </c>
      <c r="B183" s="50" t="str">
        <f>IF(ISBLANK(RECAPITULATIF!B193),"",RECAPITULATIF!B193)</f>
        <v/>
      </c>
      <c r="C183" s="50" t="str">
        <f>IF(ISBLANK(RECAPITULATIF!C193),"",RECAPITULATIF!C193)</f>
        <v/>
      </c>
      <c r="D183" s="69"/>
      <c r="E183" s="70"/>
      <c r="F183" s="69"/>
      <c r="G183" s="89"/>
    </row>
    <row r="184" spans="1:7" x14ac:dyDescent="0.2">
      <c r="A184" s="50" t="str">
        <f>IF(ISBLANK(RECAPITULATIF!A194),"",RECAPITULATIF!A194)</f>
        <v/>
      </c>
      <c r="B184" s="50" t="str">
        <f>IF(ISBLANK(RECAPITULATIF!B194),"",RECAPITULATIF!B194)</f>
        <v/>
      </c>
      <c r="C184" s="50" t="str">
        <f>IF(ISBLANK(RECAPITULATIF!C194),"",RECAPITULATIF!C194)</f>
        <v/>
      </c>
      <c r="D184" s="69"/>
      <c r="E184" s="70"/>
      <c r="F184" s="69"/>
      <c r="G184" s="89"/>
    </row>
    <row r="185" spans="1:7" x14ac:dyDescent="0.2">
      <c r="A185" s="50" t="str">
        <f>IF(ISBLANK(RECAPITULATIF!A195),"",RECAPITULATIF!A195)</f>
        <v/>
      </c>
      <c r="B185" s="50" t="str">
        <f>IF(ISBLANK(RECAPITULATIF!B195),"",RECAPITULATIF!B195)</f>
        <v/>
      </c>
      <c r="C185" s="50" t="str">
        <f>IF(ISBLANK(RECAPITULATIF!C195),"",RECAPITULATIF!C195)</f>
        <v/>
      </c>
      <c r="D185" s="69"/>
      <c r="E185" s="70"/>
      <c r="F185" s="69"/>
      <c r="G185" s="89"/>
    </row>
    <row r="186" spans="1:7" x14ac:dyDescent="0.2">
      <c r="A186" s="50" t="str">
        <f>IF(ISBLANK(RECAPITULATIF!A196),"",RECAPITULATIF!A196)</f>
        <v/>
      </c>
      <c r="B186" s="50" t="str">
        <f>IF(ISBLANK(RECAPITULATIF!B196),"",RECAPITULATIF!B196)</f>
        <v/>
      </c>
      <c r="C186" s="50" t="str">
        <f>IF(ISBLANK(RECAPITULATIF!C196),"",RECAPITULATIF!C196)</f>
        <v/>
      </c>
      <c r="D186" s="69"/>
      <c r="E186" s="70"/>
      <c r="F186" s="69"/>
      <c r="G186" s="89"/>
    </row>
    <row r="187" spans="1:7" x14ac:dyDescent="0.2">
      <c r="A187" s="50" t="str">
        <f>IF(ISBLANK(RECAPITULATIF!A197),"",RECAPITULATIF!A197)</f>
        <v/>
      </c>
      <c r="B187" s="50" t="str">
        <f>IF(ISBLANK(RECAPITULATIF!B197),"",RECAPITULATIF!B197)</f>
        <v/>
      </c>
      <c r="C187" s="50" t="str">
        <f>IF(ISBLANK(RECAPITULATIF!C197),"",RECAPITULATIF!C197)</f>
        <v/>
      </c>
      <c r="D187" s="69"/>
      <c r="E187" s="70"/>
      <c r="F187" s="69"/>
      <c r="G187" s="89"/>
    </row>
    <row r="188" spans="1:7" x14ac:dyDescent="0.2">
      <c r="A188" s="50" t="str">
        <f>IF(ISBLANK(RECAPITULATIF!A198),"",RECAPITULATIF!A198)</f>
        <v/>
      </c>
      <c r="B188" s="50" t="str">
        <f>IF(ISBLANK(RECAPITULATIF!B198),"",RECAPITULATIF!B198)</f>
        <v/>
      </c>
      <c r="C188" s="50" t="str">
        <f>IF(ISBLANK(RECAPITULATIF!C198),"",RECAPITULATIF!C198)</f>
        <v/>
      </c>
      <c r="D188" s="69"/>
      <c r="E188" s="70"/>
      <c r="F188" s="69"/>
      <c r="G188" s="89"/>
    </row>
    <row r="189" spans="1:7" x14ac:dyDescent="0.2">
      <c r="A189" s="50" t="str">
        <f>IF(ISBLANK(RECAPITULATIF!A199),"",RECAPITULATIF!A199)</f>
        <v/>
      </c>
      <c r="B189" s="50" t="str">
        <f>IF(ISBLANK(RECAPITULATIF!B199),"",RECAPITULATIF!B199)</f>
        <v/>
      </c>
      <c r="C189" s="50" t="str">
        <f>IF(ISBLANK(RECAPITULATIF!C199),"",RECAPITULATIF!C199)</f>
        <v/>
      </c>
      <c r="D189" s="69"/>
      <c r="E189" s="70"/>
      <c r="F189" s="69"/>
      <c r="G189" s="89"/>
    </row>
    <row r="190" spans="1:7" x14ac:dyDescent="0.2">
      <c r="A190" s="50" t="str">
        <f>IF(ISBLANK(RECAPITULATIF!A200),"",RECAPITULATIF!A200)</f>
        <v/>
      </c>
      <c r="B190" s="50" t="str">
        <f>IF(ISBLANK(RECAPITULATIF!B200),"",RECAPITULATIF!B200)</f>
        <v/>
      </c>
      <c r="C190" s="50" t="str">
        <f>IF(ISBLANK(RECAPITULATIF!C200),"",RECAPITULATIF!C200)</f>
        <v/>
      </c>
      <c r="D190" s="69"/>
      <c r="E190" s="70"/>
      <c r="F190" s="69"/>
      <c r="G190" s="89"/>
    </row>
    <row r="191" spans="1:7" x14ac:dyDescent="0.2">
      <c r="A191" s="50" t="str">
        <f>IF(ISBLANK(RECAPITULATIF!A201),"",RECAPITULATIF!A201)</f>
        <v/>
      </c>
      <c r="B191" s="50" t="str">
        <f>IF(ISBLANK(RECAPITULATIF!B201),"",RECAPITULATIF!B201)</f>
        <v/>
      </c>
      <c r="C191" s="50" t="str">
        <f>IF(ISBLANK(RECAPITULATIF!C201),"",RECAPITULATIF!C201)</f>
        <v/>
      </c>
      <c r="D191" s="69"/>
      <c r="E191" s="70"/>
      <c r="F191" s="69"/>
      <c r="G191" s="89"/>
    </row>
    <row r="192" spans="1:7" x14ac:dyDescent="0.2">
      <c r="A192" s="50" t="str">
        <f>IF(ISBLANK(RECAPITULATIF!A202),"",RECAPITULATIF!A202)</f>
        <v/>
      </c>
      <c r="B192" s="50" t="str">
        <f>IF(ISBLANK(RECAPITULATIF!B202),"",RECAPITULATIF!B202)</f>
        <v/>
      </c>
      <c r="C192" s="50" t="str">
        <f>IF(ISBLANK(RECAPITULATIF!C202),"",RECAPITULATIF!C202)</f>
        <v/>
      </c>
      <c r="D192" s="69"/>
      <c r="E192" s="70"/>
      <c r="F192" s="69"/>
      <c r="G192" s="89"/>
    </row>
    <row r="193" spans="1:7" x14ac:dyDescent="0.2">
      <c r="A193" s="50" t="str">
        <f>IF(ISBLANK(RECAPITULATIF!A203),"",RECAPITULATIF!A203)</f>
        <v/>
      </c>
      <c r="B193" s="50" t="str">
        <f>IF(ISBLANK(RECAPITULATIF!B203),"",RECAPITULATIF!B203)</f>
        <v/>
      </c>
      <c r="C193" s="50" t="str">
        <f>IF(ISBLANK(RECAPITULATIF!C203),"",RECAPITULATIF!C203)</f>
        <v/>
      </c>
      <c r="D193" s="69"/>
      <c r="E193" s="70"/>
      <c r="F193" s="69"/>
      <c r="G193" s="89"/>
    </row>
    <row r="194" spans="1:7" x14ac:dyDescent="0.2">
      <c r="A194" s="50" t="str">
        <f>IF(ISBLANK(RECAPITULATIF!A204),"",RECAPITULATIF!A204)</f>
        <v/>
      </c>
      <c r="B194" s="50" t="str">
        <f>IF(ISBLANK(RECAPITULATIF!B204),"",RECAPITULATIF!B204)</f>
        <v/>
      </c>
      <c r="C194" s="50" t="str">
        <f>IF(ISBLANK(RECAPITULATIF!C204),"",RECAPITULATIF!C204)</f>
        <v/>
      </c>
      <c r="D194" s="69"/>
      <c r="E194" s="70"/>
      <c r="F194" s="69"/>
      <c r="G194" s="89"/>
    </row>
    <row r="195" spans="1:7" x14ac:dyDescent="0.2">
      <c r="A195" s="50" t="str">
        <f>IF(ISBLANK(RECAPITULATIF!A205),"",RECAPITULATIF!A205)</f>
        <v/>
      </c>
      <c r="B195" s="50" t="str">
        <f>IF(ISBLANK(RECAPITULATIF!B205),"",RECAPITULATIF!B205)</f>
        <v/>
      </c>
      <c r="C195" s="50" t="str">
        <f>IF(ISBLANK(RECAPITULATIF!C205),"",RECAPITULATIF!C205)</f>
        <v/>
      </c>
      <c r="D195" s="69"/>
      <c r="E195" s="70"/>
      <c r="F195" s="69"/>
      <c r="G195" s="89"/>
    </row>
    <row r="196" spans="1:7" x14ac:dyDescent="0.2">
      <c r="A196" s="50" t="str">
        <f>IF(ISBLANK(RECAPITULATIF!A206),"",RECAPITULATIF!A206)</f>
        <v/>
      </c>
      <c r="B196" s="50" t="str">
        <f>IF(ISBLANK(RECAPITULATIF!B206),"",RECAPITULATIF!B206)</f>
        <v/>
      </c>
      <c r="C196" s="50" t="str">
        <f>IF(ISBLANK(RECAPITULATIF!C206),"",RECAPITULATIF!C206)</f>
        <v/>
      </c>
      <c r="D196" s="69"/>
      <c r="E196" s="70"/>
      <c r="F196" s="69"/>
      <c r="G196" s="89"/>
    </row>
    <row r="197" spans="1:7" x14ac:dyDescent="0.2">
      <c r="A197" s="50" t="str">
        <f>IF(ISBLANK(RECAPITULATIF!A207),"",RECAPITULATIF!A207)</f>
        <v/>
      </c>
      <c r="B197" s="50" t="str">
        <f>IF(ISBLANK(RECAPITULATIF!B207),"",RECAPITULATIF!B207)</f>
        <v/>
      </c>
      <c r="C197" s="50" t="str">
        <f>IF(ISBLANK(RECAPITULATIF!C207),"",RECAPITULATIF!C207)</f>
        <v/>
      </c>
      <c r="D197" s="69"/>
      <c r="E197" s="70"/>
      <c r="F197" s="69"/>
      <c r="G197" s="89"/>
    </row>
    <row r="198" spans="1:7" x14ac:dyDescent="0.2">
      <c r="A198" s="50" t="str">
        <f>IF(ISBLANK(RECAPITULATIF!A208),"",RECAPITULATIF!A208)</f>
        <v/>
      </c>
      <c r="B198" s="50" t="str">
        <f>IF(ISBLANK(RECAPITULATIF!B208),"",RECAPITULATIF!B208)</f>
        <v/>
      </c>
      <c r="C198" s="50" t="str">
        <f>IF(ISBLANK(RECAPITULATIF!C208),"",RECAPITULATIF!C208)</f>
        <v/>
      </c>
      <c r="D198" s="69"/>
      <c r="E198" s="70"/>
      <c r="F198" s="69"/>
      <c r="G198" s="89"/>
    </row>
    <row r="199" spans="1:7" x14ac:dyDescent="0.2">
      <c r="A199" s="50" t="str">
        <f>IF(ISBLANK(RECAPITULATIF!A209),"",RECAPITULATIF!A209)</f>
        <v/>
      </c>
      <c r="B199" s="50" t="str">
        <f>IF(ISBLANK(RECAPITULATIF!B209),"",RECAPITULATIF!B209)</f>
        <v/>
      </c>
      <c r="C199" s="50" t="str">
        <f>IF(ISBLANK(RECAPITULATIF!C209),"",RECAPITULATIF!C209)</f>
        <v/>
      </c>
      <c r="D199" s="69"/>
      <c r="E199" s="70"/>
      <c r="F199" s="69"/>
      <c r="G199" s="89"/>
    </row>
    <row r="200" spans="1:7" x14ac:dyDescent="0.2">
      <c r="A200" s="50" t="str">
        <f>IF(ISBLANK(RECAPITULATIF!A210),"",RECAPITULATIF!A210)</f>
        <v/>
      </c>
      <c r="B200" s="50" t="str">
        <f>IF(ISBLANK(RECAPITULATIF!B210),"",RECAPITULATIF!B210)</f>
        <v/>
      </c>
      <c r="C200" s="50" t="str">
        <f>IF(ISBLANK(RECAPITULATIF!C210),"",RECAPITULATIF!C210)</f>
        <v/>
      </c>
      <c r="D200" s="69"/>
      <c r="E200" s="70"/>
      <c r="F200" s="69"/>
      <c r="G200" s="89"/>
    </row>
    <row r="201" spans="1:7" x14ac:dyDescent="0.2">
      <c r="A201" s="50" t="str">
        <f>IF(ISBLANK(RECAPITULATIF!A211),"",RECAPITULATIF!A211)</f>
        <v/>
      </c>
      <c r="B201" s="50" t="str">
        <f>IF(ISBLANK(RECAPITULATIF!B211),"",RECAPITULATIF!B211)</f>
        <v/>
      </c>
      <c r="C201" s="50" t="str">
        <f>IF(ISBLANK(RECAPITULATIF!C211),"",RECAPITULATIF!C211)</f>
        <v/>
      </c>
      <c r="D201" s="69"/>
      <c r="E201" s="70"/>
      <c r="F201" s="69"/>
      <c r="G201" s="89"/>
    </row>
    <row r="202" spans="1:7" x14ac:dyDescent="0.2">
      <c r="A202" s="50" t="str">
        <f>IF(ISBLANK(RECAPITULATIF!A212),"",RECAPITULATIF!A212)</f>
        <v/>
      </c>
      <c r="B202" s="50" t="str">
        <f>IF(ISBLANK(RECAPITULATIF!B212),"",RECAPITULATIF!B212)</f>
        <v/>
      </c>
      <c r="C202" s="50" t="str">
        <f>IF(ISBLANK(RECAPITULATIF!C212),"",RECAPITULATIF!C212)</f>
        <v/>
      </c>
      <c r="D202" s="69"/>
      <c r="E202" s="70"/>
      <c r="F202" s="69"/>
      <c r="G202" s="89"/>
    </row>
    <row r="203" spans="1:7" x14ac:dyDescent="0.2">
      <c r="A203" s="50" t="str">
        <f>IF(ISBLANK(RECAPITULATIF!A213),"",RECAPITULATIF!A213)</f>
        <v/>
      </c>
      <c r="B203" s="50" t="str">
        <f>IF(ISBLANK(RECAPITULATIF!B213),"",RECAPITULATIF!B213)</f>
        <v/>
      </c>
      <c r="C203" s="50" t="str">
        <f>IF(ISBLANK(RECAPITULATIF!C213),"",RECAPITULATIF!C213)</f>
        <v/>
      </c>
      <c r="D203" s="69"/>
      <c r="E203" s="70"/>
      <c r="F203" s="69"/>
      <c r="G203" s="89"/>
    </row>
    <row r="204" spans="1:7" x14ac:dyDescent="0.2">
      <c r="A204" s="50" t="str">
        <f>IF(ISBLANK(RECAPITULATIF!A214),"",RECAPITULATIF!A214)</f>
        <v/>
      </c>
      <c r="B204" s="50" t="str">
        <f>IF(ISBLANK(RECAPITULATIF!B214),"",RECAPITULATIF!B214)</f>
        <v/>
      </c>
      <c r="C204" s="50" t="str">
        <f>IF(ISBLANK(RECAPITULATIF!C214),"",RECAPITULATIF!C214)</f>
        <v/>
      </c>
      <c r="D204" s="69"/>
      <c r="E204" s="70"/>
      <c r="F204" s="69"/>
      <c r="G204" s="89"/>
    </row>
    <row r="205" spans="1:7" x14ac:dyDescent="0.2">
      <c r="A205" s="50" t="str">
        <f>IF(ISBLANK(RECAPITULATIF!A215),"",RECAPITULATIF!A215)</f>
        <v/>
      </c>
      <c r="B205" s="50" t="str">
        <f>IF(ISBLANK(RECAPITULATIF!B215),"",RECAPITULATIF!B215)</f>
        <v/>
      </c>
      <c r="C205" s="50" t="str">
        <f>IF(ISBLANK(RECAPITULATIF!C215),"",RECAPITULATIF!C215)</f>
        <v/>
      </c>
      <c r="D205" s="69"/>
      <c r="E205" s="70"/>
      <c r="F205" s="69"/>
      <c r="G205" s="89"/>
    </row>
    <row r="206" spans="1:7" x14ac:dyDescent="0.2">
      <c r="A206" s="50" t="str">
        <f>IF(ISBLANK(RECAPITULATIF!A216),"",RECAPITULATIF!A216)</f>
        <v/>
      </c>
      <c r="B206" s="50" t="str">
        <f>IF(ISBLANK(RECAPITULATIF!B216),"",RECAPITULATIF!B216)</f>
        <v/>
      </c>
      <c r="C206" s="50" t="str">
        <f>IF(ISBLANK(RECAPITULATIF!C216),"",RECAPITULATIF!C216)</f>
        <v/>
      </c>
      <c r="D206" s="69"/>
      <c r="E206" s="70"/>
      <c r="F206" s="69"/>
      <c r="G206" s="89"/>
    </row>
    <row r="207" spans="1:7" x14ac:dyDescent="0.2">
      <c r="A207" s="50" t="str">
        <f>IF(ISBLANK(RECAPITULATIF!A217),"",RECAPITULATIF!A217)</f>
        <v/>
      </c>
      <c r="B207" s="50" t="str">
        <f>IF(ISBLANK(RECAPITULATIF!B217),"",RECAPITULATIF!B217)</f>
        <v/>
      </c>
      <c r="C207" s="50" t="str">
        <f>IF(ISBLANK(RECAPITULATIF!C217),"",RECAPITULATIF!C217)</f>
        <v/>
      </c>
      <c r="D207" s="69"/>
      <c r="E207" s="70"/>
      <c r="F207" s="69"/>
      <c r="G207" s="89"/>
    </row>
    <row r="208" spans="1:7" x14ac:dyDescent="0.2">
      <c r="A208" s="50" t="str">
        <f>IF(ISBLANK(RECAPITULATIF!A218),"",RECAPITULATIF!A218)</f>
        <v/>
      </c>
      <c r="B208" s="50" t="str">
        <f>IF(ISBLANK(RECAPITULATIF!B218),"",RECAPITULATIF!B218)</f>
        <v/>
      </c>
      <c r="C208" s="50" t="str">
        <f>IF(ISBLANK(RECAPITULATIF!C218),"",RECAPITULATIF!C218)</f>
        <v/>
      </c>
      <c r="D208" s="69"/>
      <c r="E208" s="70"/>
      <c r="F208" s="69"/>
      <c r="G208" s="89"/>
    </row>
    <row r="209" spans="1:7" x14ac:dyDescent="0.2">
      <c r="A209" s="50" t="str">
        <f>IF(ISBLANK(RECAPITULATIF!A219),"",RECAPITULATIF!A219)</f>
        <v/>
      </c>
      <c r="B209" s="50" t="str">
        <f>IF(ISBLANK(RECAPITULATIF!B219),"",RECAPITULATIF!B219)</f>
        <v/>
      </c>
      <c r="C209" s="50" t="str">
        <f>IF(ISBLANK(RECAPITULATIF!C219),"",RECAPITULATIF!C219)</f>
        <v/>
      </c>
      <c r="D209" s="69"/>
      <c r="E209" s="70"/>
      <c r="F209" s="69"/>
      <c r="G209" s="89"/>
    </row>
    <row r="210" spans="1:7" x14ac:dyDescent="0.2">
      <c r="A210" s="50" t="str">
        <f>IF(ISBLANK(RECAPITULATIF!A220),"",RECAPITULATIF!A220)</f>
        <v/>
      </c>
      <c r="B210" s="50" t="str">
        <f>IF(ISBLANK(RECAPITULATIF!B220),"",RECAPITULATIF!B220)</f>
        <v/>
      </c>
      <c r="C210" s="50" t="str">
        <f>IF(ISBLANK(RECAPITULATIF!C220),"",RECAPITULATIF!C220)</f>
        <v/>
      </c>
      <c r="D210" s="69"/>
      <c r="E210" s="70"/>
      <c r="F210" s="69"/>
      <c r="G210" s="89"/>
    </row>
    <row r="211" spans="1:7" x14ac:dyDescent="0.2">
      <c r="A211" s="50" t="str">
        <f>IF(ISBLANK(RECAPITULATIF!A221),"",RECAPITULATIF!A221)</f>
        <v/>
      </c>
      <c r="B211" s="50" t="str">
        <f>IF(ISBLANK(RECAPITULATIF!B221),"",RECAPITULATIF!B221)</f>
        <v/>
      </c>
      <c r="C211" s="50" t="str">
        <f>IF(ISBLANK(RECAPITULATIF!C221),"",RECAPITULATIF!C221)</f>
        <v/>
      </c>
      <c r="D211" s="69"/>
      <c r="E211" s="70"/>
      <c r="F211" s="69"/>
      <c r="G211" s="89"/>
    </row>
    <row r="212" spans="1:7" x14ac:dyDescent="0.2">
      <c r="A212" s="50" t="str">
        <f>IF(ISBLANK(RECAPITULATIF!A222),"",RECAPITULATIF!A222)</f>
        <v/>
      </c>
      <c r="B212" s="50" t="str">
        <f>IF(ISBLANK(RECAPITULATIF!B222),"",RECAPITULATIF!B222)</f>
        <v/>
      </c>
      <c r="C212" s="50" t="str">
        <f>IF(ISBLANK(RECAPITULATIF!C222),"",RECAPITULATIF!C222)</f>
        <v/>
      </c>
      <c r="D212" s="69"/>
      <c r="E212" s="70"/>
      <c r="F212" s="69"/>
      <c r="G212" s="89"/>
    </row>
    <row r="213" spans="1:7" x14ac:dyDescent="0.2">
      <c r="A213" s="50" t="str">
        <f>IF(ISBLANK(RECAPITULATIF!A223),"",RECAPITULATIF!A223)</f>
        <v/>
      </c>
      <c r="B213" s="50" t="str">
        <f>IF(ISBLANK(RECAPITULATIF!B223),"",RECAPITULATIF!B223)</f>
        <v/>
      </c>
      <c r="C213" s="50" t="str">
        <f>IF(ISBLANK(RECAPITULATIF!C223),"",RECAPITULATIF!C223)</f>
        <v/>
      </c>
      <c r="D213" s="69"/>
      <c r="E213" s="70"/>
      <c r="F213" s="69"/>
      <c r="G213" s="89"/>
    </row>
    <row r="214" spans="1:7" x14ac:dyDescent="0.2">
      <c r="A214" s="50" t="str">
        <f>IF(ISBLANK(RECAPITULATIF!A224),"",RECAPITULATIF!A224)</f>
        <v/>
      </c>
      <c r="B214" s="50" t="str">
        <f>IF(ISBLANK(RECAPITULATIF!B224),"",RECAPITULATIF!B224)</f>
        <v/>
      </c>
      <c r="C214" s="50" t="str">
        <f>IF(ISBLANK(RECAPITULATIF!C224),"",RECAPITULATIF!C224)</f>
        <v/>
      </c>
      <c r="D214" s="69"/>
      <c r="E214" s="70"/>
      <c r="F214" s="69"/>
      <c r="G214" s="89"/>
    </row>
    <row r="215" spans="1:7" x14ac:dyDescent="0.2">
      <c r="A215" s="50" t="str">
        <f>IF(ISBLANK(RECAPITULATIF!A225),"",RECAPITULATIF!A225)</f>
        <v/>
      </c>
      <c r="B215" s="50" t="str">
        <f>IF(ISBLANK(RECAPITULATIF!B225),"",RECAPITULATIF!B225)</f>
        <v/>
      </c>
      <c r="C215" s="50" t="str">
        <f>IF(ISBLANK(RECAPITULATIF!C225),"",RECAPITULATIF!C225)</f>
        <v/>
      </c>
      <c r="D215" s="69"/>
      <c r="E215" s="70"/>
      <c r="F215" s="69"/>
      <c r="G215" s="89"/>
    </row>
    <row r="216" spans="1:7" x14ac:dyDescent="0.2">
      <c r="A216" s="50" t="str">
        <f>IF(ISBLANK(RECAPITULATIF!A226),"",RECAPITULATIF!A226)</f>
        <v/>
      </c>
      <c r="B216" s="50" t="str">
        <f>IF(ISBLANK(RECAPITULATIF!B226),"",RECAPITULATIF!B226)</f>
        <v/>
      </c>
      <c r="C216" s="50" t="str">
        <f>IF(ISBLANK(RECAPITULATIF!C226),"",RECAPITULATIF!C226)</f>
        <v/>
      </c>
      <c r="D216" s="69"/>
      <c r="E216" s="70"/>
      <c r="F216" s="69"/>
      <c r="G216" s="89"/>
    </row>
    <row r="217" spans="1:7" x14ac:dyDescent="0.2">
      <c r="A217" s="50" t="str">
        <f>IF(ISBLANK(RECAPITULATIF!A227),"",RECAPITULATIF!A227)</f>
        <v/>
      </c>
      <c r="B217" s="50" t="str">
        <f>IF(ISBLANK(RECAPITULATIF!B227),"",RECAPITULATIF!B227)</f>
        <v/>
      </c>
      <c r="C217" s="50" t="str">
        <f>IF(ISBLANK(RECAPITULATIF!C227),"",RECAPITULATIF!C227)</f>
        <v/>
      </c>
      <c r="D217" s="69"/>
      <c r="E217" s="70"/>
      <c r="F217" s="69"/>
      <c r="G217" s="89"/>
    </row>
    <row r="218" spans="1:7" x14ac:dyDescent="0.2">
      <c r="A218" s="50" t="str">
        <f>IF(ISBLANK(RECAPITULATIF!A228),"",RECAPITULATIF!A228)</f>
        <v/>
      </c>
      <c r="B218" s="50" t="str">
        <f>IF(ISBLANK(RECAPITULATIF!B228),"",RECAPITULATIF!B228)</f>
        <v/>
      </c>
      <c r="C218" s="50" t="str">
        <f>IF(ISBLANK(RECAPITULATIF!C228),"",RECAPITULATIF!C228)</f>
        <v/>
      </c>
      <c r="D218" s="69"/>
      <c r="E218" s="70"/>
      <c r="F218" s="69"/>
      <c r="G218" s="89"/>
    </row>
    <row r="219" spans="1:7" x14ac:dyDescent="0.2">
      <c r="A219" s="50" t="str">
        <f>IF(ISBLANK(RECAPITULATIF!A229),"",RECAPITULATIF!A229)</f>
        <v/>
      </c>
      <c r="B219" s="50" t="str">
        <f>IF(ISBLANK(RECAPITULATIF!B229),"",RECAPITULATIF!B229)</f>
        <v/>
      </c>
      <c r="C219" s="50" t="str">
        <f>IF(ISBLANK(RECAPITULATIF!C229),"",RECAPITULATIF!C229)</f>
        <v/>
      </c>
      <c r="D219" s="69"/>
      <c r="E219" s="70"/>
      <c r="F219" s="69"/>
      <c r="G219" s="89"/>
    </row>
    <row r="220" spans="1:7" x14ac:dyDescent="0.2">
      <c r="A220" s="50" t="str">
        <f>IF(ISBLANK(RECAPITULATIF!A230),"",RECAPITULATIF!A230)</f>
        <v/>
      </c>
      <c r="B220" s="50" t="str">
        <f>IF(ISBLANK(RECAPITULATIF!B230),"",RECAPITULATIF!B230)</f>
        <v/>
      </c>
      <c r="C220" s="50" t="str">
        <f>IF(ISBLANK(RECAPITULATIF!C230),"",RECAPITULATIF!C230)</f>
        <v/>
      </c>
      <c r="D220" s="69"/>
      <c r="E220" s="70"/>
      <c r="F220" s="69"/>
      <c r="G220" s="89"/>
    </row>
    <row r="221" spans="1:7" x14ac:dyDescent="0.2">
      <c r="A221" s="50" t="str">
        <f>IF(ISBLANK(RECAPITULATIF!A231),"",RECAPITULATIF!A231)</f>
        <v/>
      </c>
      <c r="B221" s="50" t="str">
        <f>IF(ISBLANK(RECAPITULATIF!B231),"",RECAPITULATIF!B231)</f>
        <v/>
      </c>
      <c r="C221" s="50" t="str">
        <f>IF(ISBLANK(RECAPITULATIF!C231),"",RECAPITULATIF!C231)</f>
        <v/>
      </c>
      <c r="D221" s="69"/>
      <c r="E221" s="70"/>
      <c r="F221" s="69"/>
      <c r="G221" s="89"/>
    </row>
    <row r="222" spans="1:7" x14ac:dyDescent="0.2">
      <c r="A222" s="50" t="str">
        <f>IF(ISBLANK(RECAPITULATIF!A232),"",RECAPITULATIF!A232)</f>
        <v/>
      </c>
      <c r="B222" s="50" t="str">
        <f>IF(ISBLANK(RECAPITULATIF!B232),"",RECAPITULATIF!B232)</f>
        <v/>
      </c>
      <c r="C222" s="50" t="str">
        <f>IF(ISBLANK(RECAPITULATIF!C232),"",RECAPITULATIF!C232)</f>
        <v/>
      </c>
      <c r="D222" s="69"/>
      <c r="E222" s="70"/>
      <c r="F222" s="69"/>
      <c r="G222" s="89"/>
    </row>
    <row r="223" spans="1:7" x14ac:dyDescent="0.2">
      <c r="A223" s="50" t="str">
        <f>IF(ISBLANK(RECAPITULATIF!A233),"",RECAPITULATIF!A233)</f>
        <v/>
      </c>
      <c r="B223" s="50" t="str">
        <f>IF(ISBLANK(RECAPITULATIF!B233),"",RECAPITULATIF!B233)</f>
        <v/>
      </c>
      <c r="C223" s="50" t="str">
        <f>IF(ISBLANK(RECAPITULATIF!C233),"",RECAPITULATIF!C233)</f>
        <v/>
      </c>
      <c r="D223" s="69"/>
      <c r="E223" s="70"/>
      <c r="F223" s="69"/>
      <c r="G223" s="89"/>
    </row>
    <row r="224" spans="1:7" x14ac:dyDescent="0.2">
      <c r="A224" s="50" t="str">
        <f>IF(ISBLANK(RECAPITULATIF!A234),"",RECAPITULATIF!A234)</f>
        <v/>
      </c>
      <c r="B224" s="50" t="str">
        <f>IF(ISBLANK(RECAPITULATIF!B234),"",RECAPITULATIF!B234)</f>
        <v/>
      </c>
      <c r="C224" s="50" t="str">
        <f>IF(ISBLANK(RECAPITULATIF!C234),"",RECAPITULATIF!C234)</f>
        <v/>
      </c>
      <c r="D224" s="69"/>
      <c r="E224" s="70"/>
      <c r="F224" s="69"/>
      <c r="G224" s="89"/>
    </row>
    <row r="225" spans="1:7" x14ac:dyDescent="0.2">
      <c r="A225" s="50" t="str">
        <f>IF(ISBLANK(RECAPITULATIF!A235),"",RECAPITULATIF!A235)</f>
        <v/>
      </c>
      <c r="B225" s="50" t="str">
        <f>IF(ISBLANK(RECAPITULATIF!B235),"",RECAPITULATIF!B235)</f>
        <v/>
      </c>
      <c r="C225" s="50" t="str">
        <f>IF(ISBLANK(RECAPITULATIF!C235),"",RECAPITULATIF!C235)</f>
        <v/>
      </c>
      <c r="D225" s="69"/>
      <c r="E225" s="70"/>
      <c r="F225" s="69"/>
      <c r="G225" s="89"/>
    </row>
    <row r="226" spans="1:7" x14ac:dyDescent="0.2">
      <c r="A226" s="50" t="str">
        <f>IF(ISBLANK(RECAPITULATIF!A236),"",RECAPITULATIF!A236)</f>
        <v/>
      </c>
      <c r="B226" s="50" t="str">
        <f>IF(ISBLANK(RECAPITULATIF!B236),"",RECAPITULATIF!B236)</f>
        <v/>
      </c>
      <c r="C226" s="50" t="str">
        <f>IF(ISBLANK(RECAPITULATIF!C236),"",RECAPITULATIF!C236)</f>
        <v/>
      </c>
      <c r="D226" s="69"/>
      <c r="E226" s="70"/>
      <c r="F226" s="69"/>
      <c r="G226" s="89"/>
    </row>
    <row r="227" spans="1:7" x14ac:dyDescent="0.2">
      <c r="A227" s="50" t="str">
        <f>IF(ISBLANK(RECAPITULATIF!A237),"",RECAPITULATIF!A237)</f>
        <v/>
      </c>
      <c r="B227" s="50" t="str">
        <f>IF(ISBLANK(RECAPITULATIF!B237),"",RECAPITULATIF!B237)</f>
        <v/>
      </c>
      <c r="C227" s="50" t="str">
        <f>IF(ISBLANK(RECAPITULATIF!C237),"",RECAPITULATIF!C237)</f>
        <v/>
      </c>
      <c r="D227" s="69"/>
      <c r="E227" s="70"/>
      <c r="F227" s="69"/>
      <c r="G227" s="89"/>
    </row>
    <row r="228" spans="1:7" x14ac:dyDescent="0.2">
      <c r="A228" s="50" t="str">
        <f>IF(ISBLANK(RECAPITULATIF!A238),"",RECAPITULATIF!A238)</f>
        <v/>
      </c>
      <c r="B228" s="50" t="str">
        <f>IF(ISBLANK(RECAPITULATIF!B238),"",RECAPITULATIF!B238)</f>
        <v/>
      </c>
      <c r="C228" s="50" t="str">
        <f>IF(ISBLANK(RECAPITULATIF!C238),"",RECAPITULATIF!C238)</f>
        <v/>
      </c>
      <c r="D228" s="69"/>
      <c r="E228" s="70"/>
      <c r="F228" s="69"/>
      <c r="G228" s="89"/>
    </row>
    <row r="229" spans="1:7" x14ac:dyDescent="0.2">
      <c r="A229" s="50" t="str">
        <f>IF(ISBLANK(RECAPITULATIF!A239),"",RECAPITULATIF!A239)</f>
        <v/>
      </c>
      <c r="B229" s="50" t="str">
        <f>IF(ISBLANK(RECAPITULATIF!B239),"",RECAPITULATIF!B239)</f>
        <v/>
      </c>
      <c r="C229" s="50" t="str">
        <f>IF(ISBLANK(RECAPITULATIF!C239),"",RECAPITULATIF!C239)</f>
        <v/>
      </c>
      <c r="D229" s="69"/>
      <c r="E229" s="70"/>
      <c r="F229" s="69"/>
      <c r="G229" s="89"/>
    </row>
    <row r="230" spans="1:7" x14ac:dyDescent="0.2">
      <c r="A230" s="50" t="str">
        <f>IF(ISBLANK(RECAPITULATIF!A240),"",RECAPITULATIF!A240)</f>
        <v/>
      </c>
      <c r="B230" s="50" t="str">
        <f>IF(ISBLANK(RECAPITULATIF!B240),"",RECAPITULATIF!B240)</f>
        <v/>
      </c>
      <c r="C230" s="50" t="str">
        <f>IF(ISBLANK(RECAPITULATIF!C240),"",RECAPITULATIF!C240)</f>
        <v/>
      </c>
      <c r="D230" s="69"/>
      <c r="E230" s="70"/>
      <c r="F230" s="69"/>
      <c r="G230" s="89"/>
    </row>
    <row r="231" spans="1:7" x14ac:dyDescent="0.2">
      <c r="A231" s="50" t="str">
        <f>IF(ISBLANK(RECAPITULATIF!A241),"",RECAPITULATIF!A241)</f>
        <v/>
      </c>
      <c r="B231" s="50" t="str">
        <f>IF(ISBLANK(RECAPITULATIF!B241),"",RECAPITULATIF!B241)</f>
        <v/>
      </c>
      <c r="C231" s="50" t="str">
        <f>IF(ISBLANK(RECAPITULATIF!C241),"",RECAPITULATIF!C241)</f>
        <v/>
      </c>
      <c r="D231" s="69"/>
      <c r="E231" s="70"/>
      <c r="F231" s="69"/>
      <c r="G231" s="89"/>
    </row>
    <row r="232" spans="1:7" x14ac:dyDescent="0.2">
      <c r="A232" s="50" t="str">
        <f>IF(ISBLANK(RECAPITULATIF!A242),"",RECAPITULATIF!A242)</f>
        <v/>
      </c>
      <c r="B232" s="50" t="str">
        <f>IF(ISBLANK(RECAPITULATIF!B242),"",RECAPITULATIF!B242)</f>
        <v/>
      </c>
      <c r="C232" s="50" t="str">
        <f>IF(ISBLANK(RECAPITULATIF!C242),"",RECAPITULATIF!C242)</f>
        <v/>
      </c>
      <c r="D232" s="69"/>
      <c r="E232" s="70"/>
      <c r="F232" s="69"/>
      <c r="G232" s="89"/>
    </row>
    <row r="233" spans="1:7" x14ac:dyDescent="0.2">
      <c r="A233" s="50" t="str">
        <f>IF(ISBLANK(RECAPITULATIF!A243),"",RECAPITULATIF!A243)</f>
        <v/>
      </c>
      <c r="B233" s="50" t="str">
        <f>IF(ISBLANK(RECAPITULATIF!B243),"",RECAPITULATIF!B243)</f>
        <v/>
      </c>
      <c r="C233" s="50" t="str">
        <f>IF(ISBLANK(RECAPITULATIF!C243),"",RECAPITULATIF!C243)</f>
        <v/>
      </c>
      <c r="D233" s="69"/>
      <c r="E233" s="70"/>
      <c r="F233" s="69"/>
      <c r="G233" s="89"/>
    </row>
    <row r="234" spans="1:7" x14ac:dyDescent="0.2">
      <c r="A234" s="50" t="str">
        <f>IF(ISBLANK(RECAPITULATIF!A244),"",RECAPITULATIF!A244)</f>
        <v/>
      </c>
      <c r="B234" s="50" t="str">
        <f>IF(ISBLANK(RECAPITULATIF!B244),"",RECAPITULATIF!B244)</f>
        <v/>
      </c>
      <c r="C234" s="50" t="str">
        <f>IF(ISBLANK(RECAPITULATIF!C244),"",RECAPITULATIF!C244)</f>
        <v/>
      </c>
      <c r="D234" s="69"/>
      <c r="E234" s="70"/>
      <c r="F234" s="69"/>
      <c r="G234" s="89"/>
    </row>
    <row r="235" spans="1:7" x14ac:dyDescent="0.2">
      <c r="A235" s="50" t="str">
        <f>IF(ISBLANK(RECAPITULATIF!A245),"",RECAPITULATIF!A245)</f>
        <v/>
      </c>
      <c r="B235" s="50" t="str">
        <f>IF(ISBLANK(RECAPITULATIF!B245),"",RECAPITULATIF!B245)</f>
        <v/>
      </c>
      <c r="C235" s="50" t="str">
        <f>IF(ISBLANK(RECAPITULATIF!C245),"",RECAPITULATIF!C245)</f>
        <v/>
      </c>
      <c r="D235" s="69"/>
      <c r="E235" s="70"/>
      <c r="F235" s="69"/>
      <c r="G235" s="89"/>
    </row>
    <row r="236" spans="1:7" x14ac:dyDescent="0.2">
      <c r="A236" s="50" t="str">
        <f>IF(ISBLANK(RECAPITULATIF!A246),"",RECAPITULATIF!A246)</f>
        <v/>
      </c>
      <c r="B236" s="50" t="str">
        <f>IF(ISBLANK(RECAPITULATIF!B246),"",RECAPITULATIF!B246)</f>
        <v/>
      </c>
      <c r="C236" s="50" t="str">
        <f>IF(ISBLANK(RECAPITULATIF!C246),"",RECAPITULATIF!C246)</f>
        <v/>
      </c>
      <c r="D236" s="69"/>
      <c r="E236" s="70"/>
      <c r="F236" s="69"/>
      <c r="G236" s="89"/>
    </row>
    <row r="237" spans="1:7" x14ac:dyDescent="0.2">
      <c r="A237" s="50" t="str">
        <f>IF(ISBLANK(RECAPITULATIF!A247),"",RECAPITULATIF!A247)</f>
        <v/>
      </c>
      <c r="B237" s="50" t="str">
        <f>IF(ISBLANK(RECAPITULATIF!B247),"",RECAPITULATIF!B247)</f>
        <v/>
      </c>
      <c r="C237" s="50" t="str">
        <f>IF(ISBLANK(RECAPITULATIF!C247),"",RECAPITULATIF!C247)</f>
        <v/>
      </c>
      <c r="D237" s="69"/>
      <c r="E237" s="70"/>
      <c r="F237" s="69"/>
      <c r="G237" s="89"/>
    </row>
    <row r="238" spans="1:7" x14ac:dyDescent="0.2">
      <c r="A238" s="50" t="str">
        <f>IF(ISBLANK(RECAPITULATIF!A248),"",RECAPITULATIF!A248)</f>
        <v/>
      </c>
      <c r="B238" s="50" t="str">
        <f>IF(ISBLANK(RECAPITULATIF!B248),"",RECAPITULATIF!B248)</f>
        <v/>
      </c>
      <c r="C238" s="50" t="str">
        <f>IF(ISBLANK(RECAPITULATIF!C248),"",RECAPITULATIF!C248)</f>
        <v/>
      </c>
      <c r="D238" s="69"/>
      <c r="E238" s="70"/>
      <c r="F238" s="69"/>
      <c r="G238" s="89"/>
    </row>
    <row r="239" spans="1:7" x14ac:dyDescent="0.2">
      <c r="A239" s="50" t="str">
        <f>IF(ISBLANK(RECAPITULATIF!A249),"",RECAPITULATIF!A249)</f>
        <v/>
      </c>
      <c r="B239" s="50" t="str">
        <f>IF(ISBLANK(RECAPITULATIF!B249),"",RECAPITULATIF!B249)</f>
        <v/>
      </c>
      <c r="C239" s="50" t="str">
        <f>IF(ISBLANK(RECAPITULATIF!C249),"",RECAPITULATIF!C249)</f>
        <v/>
      </c>
      <c r="D239" s="69"/>
      <c r="E239" s="70"/>
      <c r="F239" s="69"/>
      <c r="G239" s="89"/>
    </row>
    <row r="240" spans="1:7" x14ac:dyDescent="0.2">
      <c r="A240" s="50" t="str">
        <f>IF(ISBLANK(RECAPITULATIF!A250),"",RECAPITULATIF!A250)</f>
        <v/>
      </c>
      <c r="B240" s="50" t="str">
        <f>IF(ISBLANK(RECAPITULATIF!B250),"",RECAPITULATIF!B250)</f>
        <v/>
      </c>
      <c r="C240" s="50" t="str">
        <f>IF(ISBLANK(RECAPITULATIF!C250),"",RECAPITULATIF!C250)</f>
        <v/>
      </c>
      <c r="D240" s="69"/>
      <c r="E240" s="70"/>
      <c r="F240" s="69"/>
      <c r="G240" s="89"/>
    </row>
    <row r="241" spans="1:7" x14ac:dyDescent="0.2">
      <c r="A241" s="50" t="str">
        <f>IF(ISBLANK(RECAPITULATIF!A251),"",RECAPITULATIF!A251)</f>
        <v/>
      </c>
      <c r="B241" s="50" t="str">
        <f>IF(ISBLANK(RECAPITULATIF!B251),"",RECAPITULATIF!B251)</f>
        <v/>
      </c>
      <c r="C241" s="50" t="str">
        <f>IF(ISBLANK(RECAPITULATIF!C251),"",RECAPITULATIF!C251)</f>
        <v/>
      </c>
      <c r="D241" s="69"/>
      <c r="E241" s="70"/>
      <c r="F241" s="69"/>
      <c r="G241" s="89"/>
    </row>
    <row r="242" spans="1:7" x14ac:dyDescent="0.2">
      <c r="A242" s="50" t="str">
        <f>IF(ISBLANK(RECAPITULATIF!A252),"",RECAPITULATIF!A252)</f>
        <v/>
      </c>
      <c r="B242" s="50" t="str">
        <f>IF(ISBLANK(RECAPITULATIF!B252),"",RECAPITULATIF!B252)</f>
        <v/>
      </c>
      <c r="C242" s="50" t="str">
        <f>IF(ISBLANK(RECAPITULATIF!C252),"",RECAPITULATIF!C252)</f>
        <v/>
      </c>
      <c r="D242" s="69"/>
      <c r="E242" s="70"/>
      <c r="F242" s="69"/>
      <c r="G242" s="89"/>
    </row>
    <row r="243" spans="1:7" x14ac:dyDescent="0.2">
      <c r="A243" s="50" t="str">
        <f>IF(ISBLANK(RECAPITULATIF!A253),"",RECAPITULATIF!A253)</f>
        <v/>
      </c>
      <c r="B243" s="50" t="str">
        <f>IF(ISBLANK(RECAPITULATIF!B253),"",RECAPITULATIF!B253)</f>
        <v/>
      </c>
      <c r="C243" s="50" t="str">
        <f>IF(ISBLANK(RECAPITULATIF!C253),"",RECAPITULATIF!C253)</f>
        <v/>
      </c>
      <c r="D243" s="69"/>
      <c r="E243" s="70"/>
      <c r="F243" s="69"/>
      <c r="G243" s="89"/>
    </row>
    <row r="244" spans="1:7" x14ac:dyDescent="0.2">
      <c r="A244" s="50" t="str">
        <f>IF(ISBLANK(RECAPITULATIF!A254),"",RECAPITULATIF!A254)</f>
        <v/>
      </c>
      <c r="B244" s="50" t="str">
        <f>IF(ISBLANK(RECAPITULATIF!B254),"",RECAPITULATIF!B254)</f>
        <v/>
      </c>
      <c r="C244" s="50" t="str">
        <f>IF(ISBLANK(RECAPITULATIF!C254),"",RECAPITULATIF!C254)</f>
        <v/>
      </c>
      <c r="D244" s="69"/>
      <c r="E244" s="70"/>
      <c r="F244" s="69"/>
      <c r="G244" s="89"/>
    </row>
    <row r="245" spans="1:7" x14ac:dyDescent="0.2">
      <c r="A245" s="50" t="str">
        <f>IF(ISBLANK(RECAPITULATIF!A255),"",RECAPITULATIF!A255)</f>
        <v/>
      </c>
      <c r="B245" s="50" t="str">
        <f>IF(ISBLANK(RECAPITULATIF!B255),"",RECAPITULATIF!B255)</f>
        <v/>
      </c>
      <c r="C245" s="50" t="str">
        <f>IF(ISBLANK(RECAPITULATIF!C255),"",RECAPITULATIF!C255)</f>
        <v/>
      </c>
      <c r="D245" s="69"/>
      <c r="E245" s="70"/>
      <c r="F245" s="69"/>
      <c r="G245" s="89"/>
    </row>
    <row r="246" spans="1:7" x14ac:dyDescent="0.2">
      <c r="A246" s="50" t="str">
        <f>IF(ISBLANK(RECAPITULATIF!A256),"",RECAPITULATIF!A256)</f>
        <v/>
      </c>
      <c r="B246" s="50" t="str">
        <f>IF(ISBLANK(RECAPITULATIF!B256),"",RECAPITULATIF!B256)</f>
        <v/>
      </c>
      <c r="C246" s="50" t="str">
        <f>IF(ISBLANK(RECAPITULATIF!C256),"",RECAPITULATIF!C256)</f>
        <v/>
      </c>
      <c r="D246" s="69"/>
      <c r="E246" s="70"/>
      <c r="F246" s="69"/>
      <c r="G246" s="89"/>
    </row>
    <row r="247" spans="1:7" x14ac:dyDescent="0.2">
      <c r="A247" s="50" t="str">
        <f>IF(ISBLANK(RECAPITULATIF!A257),"",RECAPITULATIF!A257)</f>
        <v/>
      </c>
      <c r="B247" s="50" t="str">
        <f>IF(ISBLANK(RECAPITULATIF!B257),"",RECAPITULATIF!B257)</f>
        <v/>
      </c>
      <c r="C247" s="50" t="str">
        <f>IF(ISBLANK(RECAPITULATIF!C257),"",RECAPITULATIF!C257)</f>
        <v/>
      </c>
      <c r="D247" s="69"/>
      <c r="E247" s="70"/>
      <c r="F247" s="69"/>
      <c r="G247" s="89"/>
    </row>
    <row r="248" spans="1:7" x14ac:dyDescent="0.2">
      <c r="A248" s="50" t="str">
        <f>IF(ISBLANK(RECAPITULATIF!A258),"",RECAPITULATIF!A258)</f>
        <v/>
      </c>
      <c r="B248" s="50" t="str">
        <f>IF(ISBLANK(RECAPITULATIF!B258),"",RECAPITULATIF!B258)</f>
        <v/>
      </c>
      <c r="C248" s="50" t="str">
        <f>IF(ISBLANK(RECAPITULATIF!C258),"",RECAPITULATIF!C258)</f>
        <v/>
      </c>
      <c r="D248" s="69"/>
      <c r="E248" s="70"/>
      <c r="F248" s="69"/>
      <c r="G248" s="89"/>
    </row>
    <row r="249" spans="1:7" x14ac:dyDescent="0.2">
      <c r="A249" s="50" t="str">
        <f>IF(ISBLANK(RECAPITULATIF!A259),"",RECAPITULATIF!A259)</f>
        <v/>
      </c>
      <c r="B249" s="50" t="str">
        <f>IF(ISBLANK(RECAPITULATIF!B259),"",RECAPITULATIF!B259)</f>
        <v/>
      </c>
      <c r="C249" s="50" t="str">
        <f>IF(ISBLANK(RECAPITULATIF!C259),"",RECAPITULATIF!C259)</f>
        <v/>
      </c>
      <c r="D249" s="69"/>
      <c r="E249" s="70"/>
      <c r="F249" s="69"/>
      <c r="G249" s="89"/>
    </row>
    <row r="250" spans="1:7" x14ac:dyDescent="0.2">
      <c r="A250" s="50" t="str">
        <f>IF(ISBLANK(RECAPITULATIF!A260),"",RECAPITULATIF!A260)</f>
        <v/>
      </c>
      <c r="B250" s="50" t="str">
        <f>IF(ISBLANK(RECAPITULATIF!B260),"",RECAPITULATIF!B260)</f>
        <v/>
      </c>
      <c r="C250" s="50" t="str">
        <f>IF(ISBLANK(RECAPITULATIF!C260),"",RECAPITULATIF!C260)</f>
        <v/>
      </c>
      <c r="D250" s="69"/>
      <c r="E250" s="70"/>
      <c r="F250" s="69"/>
      <c r="G250" s="89"/>
    </row>
    <row r="251" spans="1:7" x14ac:dyDescent="0.2">
      <c r="A251" s="50" t="str">
        <f>IF(ISBLANK(RECAPITULATIF!A261),"",RECAPITULATIF!A261)</f>
        <v/>
      </c>
      <c r="B251" s="50" t="str">
        <f>IF(ISBLANK(RECAPITULATIF!B261),"",RECAPITULATIF!B261)</f>
        <v/>
      </c>
      <c r="C251" s="50" t="str">
        <f>IF(ISBLANK(RECAPITULATIF!C261),"",RECAPITULATIF!C261)</f>
        <v/>
      </c>
      <c r="D251" s="69"/>
      <c r="E251" s="70"/>
      <c r="F251" s="69"/>
      <c r="G251" s="89"/>
    </row>
    <row r="252" spans="1:7" x14ac:dyDescent="0.2">
      <c r="A252" s="50" t="str">
        <f>IF(ISBLANK(RECAPITULATIF!A262),"",RECAPITULATIF!A262)</f>
        <v/>
      </c>
      <c r="B252" s="50" t="str">
        <f>IF(ISBLANK(RECAPITULATIF!B262),"",RECAPITULATIF!B262)</f>
        <v/>
      </c>
      <c r="C252" s="50" t="str">
        <f>IF(ISBLANK(RECAPITULATIF!C262),"",RECAPITULATIF!C262)</f>
        <v/>
      </c>
      <c r="D252" s="69"/>
      <c r="E252" s="70"/>
      <c r="F252" s="69"/>
      <c r="G252" s="89"/>
    </row>
    <row r="253" spans="1:7" x14ac:dyDescent="0.2">
      <c r="A253" s="50" t="str">
        <f>IF(ISBLANK(RECAPITULATIF!A263),"",RECAPITULATIF!A263)</f>
        <v/>
      </c>
      <c r="B253" s="50" t="str">
        <f>IF(ISBLANK(RECAPITULATIF!B263),"",RECAPITULATIF!B263)</f>
        <v/>
      </c>
      <c r="C253" s="50" t="str">
        <f>IF(ISBLANK(RECAPITULATIF!C263),"",RECAPITULATIF!C263)</f>
        <v/>
      </c>
      <c r="D253" s="69"/>
      <c r="E253" s="70"/>
      <c r="F253" s="69"/>
      <c r="G253" s="89"/>
    </row>
    <row r="254" spans="1:7" x14ac:dyDescent="0.2">
      <c r="A254" s="50" t="str">
        <f>IF(ISBLANK(RECAPITULATIF!A264),"",RECAPITULATIF!A264)</f>
        <v/>
      </c>
      <c r="B254" s="50" t="str">
        <f>IF(ISBLANK(RECAPITULATIF!B264),"",RECAPITULATIF!B264)</f>
        <v/>
      </c>
      <c r="C254" s="50" t="str">
        <f>IF(ISBLANK(RECAPITULATIF!C264),"",RECAPITULATIF!C264)</f>
        <v/>
      </c>
      <c r="D254" s="69"/>
      <c r="E254" s="70"/>
      <c r="F254" s="69"/>
      <c r="G254" s="89"/>
    </row>
    <row r="255" spans="1:7" x14ac:dyDescent="0.2">
      <c r="A255" s="50" t="str">
        <f>IF(ISBLANK(RECAPITULATIF!A265),"",RECAPITULATIF!A265)</f>
        <v/>
      </c>
      <c r="B255" s="50" t="str">
        <f>IF(ISBLANK(RECAPITULATIF!B265),"",RECAPITULATIF!B265)</f>
        <v/>
      </c>
      <c r="C255" s="50" t="str">
        <f>IF(ISBLANK(RECAPITULATIF!C265),"",RECAPITULATIF!C265)</f>
        <v/>
      </c>
      <c r="D255" s="69"/>
      <c r="E255" s="70"/>
      <c r="F255" s="69"/>
      <c r="G255" s="89"/>
    </row>
    <row r="256" spans="1:7" x14ac:dyDescent="0.2">
      <c r="A256" s="50" t="str">
        <f>IF(ISBLANK(RECAPITULATIF!A266),"",RECAPITULATIF!A266)</f>
        <v/>
      </c>
      <c r="B256" s="50" t="str">
        <f>IF(ISBLANK(RECAPITULATIF!B266),"",RECAPITULATIF!B266)</f>
        <v/>
      </c>
      <c r="C256" s="50" t="str">
        <f>IF(ISBLANK(RECAPITULATIF!C266),"",RECAPITULATIF!C266)</f>
        <v/>
      </c>
      <c r="D256" s="69"/>
      <c r="E256" s="70"/>
      <c r="F256" s="69"/>
      <c r="G256" s="89"/>
    </row>
    <row r="257" spans="1:7" ht="16" thickBot="1" x14ac:dyDescent="0.25">
      <c r="A257" s="50" t="str">
        <f>IF(ISBLANK(RECAPITULATIF!A267),"",RECAPITULATIF!A267)</f>
        <v/>
      </c>
      <c r="B257" s="50" t="str">
        <f>IF(ISBLANK(RECAPITULATIF!B267),"",RECAPITULATIF!B267)</f>
        <v/>
      </c>
      <c r="C257" s="50" t="str">
        <f>IF(ISBLANK(RECAPITULATIF!C267),"",RECAPITULATIF!C267)</f>
        <v/>
      </c>
      <c r="D257" s="69"/>
      <c r="E257" s="70"/>
      <c r="F257" s="69"/>
      <c r="G257" s="89"/>
    </row>
    <row r="258" spans="1:7" x14ac:dyDescent="0.2">
      <c r="A258" s="6" t="s">
        <v>21</v>
      </c>
      <c r="B258" s="7"/>
      <c r="C258" s="7"/>
      <c r="D258" s="81">
        <f>SUM(D8:D257)</f>
        <v>0</v>
      </c>
      <c r="E258" s="82">
        <f>SUM(E8:E257)</f>
        <v>0</v>
      </c>
      <c r="F258" s="87">
        <f>SUM(F8:F257)</f>
        <v>0</v>
      </c>
      <c r="G258" s="90">
        <f>SUM(G8:G257)</f>
        <v>0</v>
      </c>
    </row>
    <row r="259" spans="1:7" s="14" customFormat="1" ht="12" thickBot="1" x14ac:dyDescent="0.2">
      <c r="A259" s="9" t="s">
        <v>22</v>
      </c>
      <c r="B259" s="10"/>
      <c r="C259" s="10"/>
      <c r="D259" s="11" t="s">
        <v>41</v>
      </c>
      <c r="E259" s="22" t="s">
        <v>41</v>
      </c>
      <c r="F259" s="32" t="s">
        <v>41</v>
      </c>
      <c r="G259" s="37" t="s">
        <v>23</v>
      </c>
    </row>
    <row r="260" spans="1:7" ht="12" customHeight="1" x14ac:dyDescent="0.2">
      <c r="A260" s="45" t="s">
        <v>24</v>
      </c>
    </row>
    <row r="261" spans="1:7" ht="10.5" customHeight="1" x14ac:dyDescent="0.2">
      <c r="A261" s="45" t="s">
        <v>25</v>
      </c>
    </row>
  </sheetData>
  <mergeCells count="4">
    <mergeCell ref="A5:F5"/>
    <mergeCell ref="A6:A7"/>
    <mergeCell ref="B6:B7"/>
    <mergeCell ref="C6:C7"/>
  </mergeCells>
  <pageMargins left="0.19685039370078741" right="0.19685039370078741" top="0.19685039370078741" bottom="0.15748031496062992" header="0.19685039370078741" footer="0.15748031496062992"/>
  <pageSetup paperSize="9" orientation="portrait" r:id="rId1"/>
  <ignoredErrors>
    <ignoredError sqref="D258:G258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abSelected="1"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1</vt:i4>
      </vt:variant>
    </vt:vector>
  </HeadingPairs>
  <TitlesOfParts>
    <vt:vector size="8" baseType="lpstr">
      <vt:lpstr>RECAPITULATIF</vt:lpstr>
      <vt:lpstr>MOUVEMENTS ENTREE</vt:lpstr>
      <vt:lpstr>MVMTS SORTIES &amp; FABRICATIONS</vt:lpstr>
      <vt:lpstr>VENTES FRANCE</vt:lpstr>
      <vt:lpstr>VENTES EXPORT &amp; VINS VINES</vt:lpstr>
      <vt:lpstr>Feuil2</vt:lpstr>
      <vt:lpstr>Feuil3</vt:lpstr>
      <vt:lpstr>'MOUVEMENTS ENTREE'!Print_Titles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daniele.chanfreau</dc:creator>
  <cp:lastModifiedBy>Olivier GOUJON</cp:lastModifiedBy>
  <cp:lastPrinted>2015-08-13T10:11:46Z</cp:lastPrinted>
  <dcterms:created xsi:type="dcterms:W3CDTF">2015-07-21T10:02:23Z</dcterms:created>
  <dcterms:modified xsi:type="dcterms:W3CDTF">2026-10-05T06:24:44Z</dcterms:modified>
</cp:coreProperties>
</file>